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son Totals" sheetId="1" r:id="rId4"/>
    <sheet state="visible" name="Revised ST" sheetId="2" r:id="rId5"/>
    <sheet state="visible" name="G8" sheetId="3" r:id="rId6"/>
    <sheet state="visible" name="G7" sheetId="4" r:id="rId7"/>
    <sheet state="visible" name="G6" sheetId="5" r:id="rId8"/>
    <sheet state="visible" name="G5" sheetId="6" r:id="rId9"/>
    <sheet state="visible" name="G4" sheetId="7" r:id="rId10"/>
    <sheet state="visible" name="G3" sheetId="8" r:id="rId11"/>
    <sheet state="visible" name="G2" sheetId="9" r:id="rId12"/>
    <sheet state="visible" name="G1" sheetId="10" r:id="rId13"/>
    <sheet state="visible" name="Template" sheetId="11" r:id="rId14"/>
    <sheet state="hidden" name="Temp 2.0" sheetId="12" r:id="rId15"/>
  </sheets>
  <definedNames/>
  <calcPr/>
</workbook>
</file>

<file path=xl/sharedStrings.xml><?xml version="1.0" encoding="utf-8"?>
<sst xmlns="http://schemas.openxmlformats.org/spreadsheetml/2006/main" count="604" uniqueCount="50">
  <si>
    <t>W</t>
  </si>
  <si>
    <t>L</t>
  </si>
  <si>
    <t>T</t>
  </si>
  <si>
    <t>W%</t>
  </si>
  <si>
    <t>PA</t>
  </si>
  <si>
    <t>H</t>
  </si>
  <si>
    <t>K</t>
  </si>
  <si>
    <t>BB</t>
  </si>
  <si>
    <t>RBI</t>
  </si>
  <si>
    <t>AVG</t>
  </si>
  <si>
    <t>K%</t>
  </si>
  <si>
    <t>OBP</t>
  </si>
  <si>
    <t>B-SCR</t>
  </si>
  <si>
    <t>B-Rank</t>
  </si>
  <si>
    <t>IP</t>
  </si>
  <si>
    <t>HA</t>
  </si>
  <si>
    <t>RA</t>
  </si>
  <si>
    <t>ERA</t>
  </si>
  <si>
    <t>WHIP</t>
  </si>
  <si>
    <t>K:BB</t>
  </si>
  <si>
    <t>P-SCR</t>
  </si>
  <si>
    <t>matt</t>
  </si>
  <si>
    <t>Chuck</t>
  </si>
  <si>
    <t>Mason</t>
  </si>
  <si>
    <t>Liam</t>
  </si>
  <si>
    <t>Christian</t>
  </si>
  <si>
    <t>Logan</t>
  </si>
  <si>
    <t>Stephan</t>
  </si>
  <si>
    <t>Jackson</t>
  </si>
  <si>
    <t>Static Table</t>
  </si>
  <si>
    <t>1A</t>
  </si>
  <si>
    <t>2A</t>
  </si>
  <si>
    <t>3A</t>
  </si>
  <si>
    <t>HRA</t>
  </si>
  <si>
    <t>Matt</t>
  </si>
  <si>
    <t>Finn</t>
  </si>
  <si>
    <t>this is idea</t>
  </si>
  <si>
    <t>BIP</t>
  </si>
  <si>
    <t>1B</t>
  </si>
  <si>
    <t>2B</t>
  </si>
  <si>
    <t>3B</t>
  </si>
  <si>
    <t>HR</t>
  </si>
  <si>
    <t>OPS</t>
  </si>
  <si>
    <t>Fantasy Points</t>
  </si>
  <si>
    <t>NAME</t>
  </si>
  <si>
    <t>PITCHING</t>
  </si>
  <si>
    <t>1/2/3/HR A = Hit Allowed</t>
  </si>
  <si>
    <t>BATTING</t>
  </si>
  <si>
    <t>BIP*</t>
  </si>
  <si>
    <t>BIP = Balls in 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</si>
</sst>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m/d/yyyy"/>
    <numFmt numFmtId="166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i/>
      <sz val="8.0"/>
      <color theme="1"/>
      <name val="Arial"/>
      <scheme val="minor"/>
    </font>
    <font>
      <i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double">
        <color rgb="FF000000"/>
      </right>
    </border>
    <border>
      <top style="hair">
        <color rgb="FF000000"/>
      </top>
      <bottom style="hair">
        <color rgb="FF000000"/>
      </bottom>
    </border>
    <border>
      <right style="double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</border>
    <border>
      <right style="double">
        <color rgb="FF000000"/>
      </right>
      <top style="hair">
        <color rgb="FF000000"/>
      </top>
    </border>
    <border>
      <top style="double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2" xfId="0" applyAlignment="1" applyBorder="1" applyFont="1" applyNumberFormat="1">
      <alignment readingOrder="0"/>
    </xf>
    <xf borderId="7" fillId="0" fontId="1" numFmtId="2" xfId="0" applyAlignment="1" applyBorder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7" fillId="2" fontId="2" numFmtId="2" xfId="0" applyAlignment="1" applyBorder="1" applyFill="1" applyFont="1" applyNumberFormat="1">
      <alignment vertical="bottom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horizontal="center" readingOrder="0"/>
    </xf>
    <xf borderId="8" fillId="0" fontId="1" numFmtId="0" xfId="0" applyBorder="1" applyFont="1"/>
    <xf borderId="8" fillId="0" fontId="1" numFmtId="0" xfId="0" applyBorder="1" applyFont="1"/>
    <xf borderId="11" fillId="0" fontId="1" numFmtId="0" xfId="0" applyBorder="1" applyFont="1"/>
    <xf borderId="8" fillId="0" fontId="1" numFmtId="164" xfId="0" applyBorder="1" applyFont="1" applyNumberFormat="1"/>
    <xf borderId="12" fillId="0" fontId="1" numFmtId="164" xfId="0" applyBorder="1" applyFont="1" applyNumberFormat="1"/>
    <xf borderId="0" fillId="0" fontId="1" numFmtId="2" xfId="0" applyFont="1" applyNumberFormat="1"/>
    <xf borderId="13" fillId="3" fontId="1" numFmtId="1" xfId="0" applyAlignment="1" applyBorder="1" applyFill="1" applyFont="1" applyNumberFormat="1">
      <alignment horizontal="center"/>
    </xf>
    <xf borderId="14" fillId="0" fontId="1" numFmtId="0" xfId="0" applyBorder="1" applyFont="1"/>
    <xf borderId="8" fillId="0" fontId="1" numFmtId="2" xfId="0" applyBorder="1" applyFont="1" applyNumberFormat="1"/>
    <xf borderId="8" fillId="0" fontId="1" numFmtId="2" xfId="0" applyBorder="1" applyFont="1" applyNumberFormat="1"/>
    <xf borderId="15" fillId="0" fontId="1" numFmtId="2" xfId="0" applyBorder="1" applyFont="1" applyNumberFormat="1"/>
    <xf borderId="13" fillId="4" fontId="2" numFmtId="1" xfId="0" applyAlignment="1" applyBorder="1" applyFill="1" applyFont="1" applyNumberFormat="1">
      <alignment horizontal="center" vertical="bottom"/>
    </xf>
    <xf borderId="14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4" fillId="0" fontId="1" numFmtId="164" xfId="0" applyBorder="1" applyFont="1" applyNumberFormat="1"/>
    <xf borderId="17" fillId="0" fontId="1" numFmtId="164" xfId="0" applyBorder="1" applyFont="1" applyNumberFormat="1"/>
    <xf borderId="13" fillId="0" fontId="1" numFmtId="1" xfId="0" applyAlignment="1" applyBorder="1" applyFont="1" applyNumberFormat="1">
      <alignment horizontal="center"/>
    </xf>
    <xf borderId="18" fillId="0" fontId="1" numFmtId="2" xfId="0" applyBorder="1" applyFont="1" applyNumberFormat="1"/>
    <xf borderId="13" fillId="3" fontId="2" numFmtId="1" xfId="0" applyAlignment="1" applyBorder="1" applyFont="1" applyNumberFormat="1">
      <alignment horizontal="center" vertical="bottom"/>
    </xf>
    <xf borderId="14" fillId="0" fontId="1" numFmtId="164" xfId="0" applyBorder="1" applyFont="1" applyNumberFormat="1"/>
    <xf borderId="17" fillId="0" fontId="1" numFmtId="164" xfId="0" applyBorder="1" applyFont="1" applyNumberFormat="1"/>
    <xf borderId="13" fillId="5" fontId="2" numFmtId="1" xfId="0" applyAlignment="1" applyBorder="1" applyFill="1" applyFont="1" applyNumberFormat="1">
      <alignment horizontal="center" vertical="bottom"/>
    </xf>
    <xf borderId="13" fillId="6" fontId="2" numFmtId="1" xfId="0" applyAlignment="1" applyBorder="1" applyFill="1" applyFont="1" applyNumberFormat="1">
      <alignment horizontal="center" vertical="bottom"/>
    </xf>
    <xf borderId="19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19" fillId="0" fontId="1" numFmtId="164" xfId="0" applyBorder="1" applyFont="1" applyNumberFormat="1"/>
    <xf borderId="22" fillId="0" fontId="1" numFmtId="164" xfId="0" applyBorder="1" applyFont="1" applyNumberFormat="1"/>
    <xf borderId="13" fillId="6" fontId="1" numFmtId="1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23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Font="1"/>
    <xf borderId="24" fillId="0" fontId="1" numFmtId="0" xfId="0" applyBorder="1" applyFont="1"/>
    <xf borderId="0" fillId="0" fontId="1" numFmtId="164" xfId="0" applyFont="1" applyNumberFormat="1"/>
    <xf borderId="19" fillId="0" fontId="1" numFmtId="0" xfId="0" applyBorder="1" applyFont="1"/>
    <xf borderId="0" fillId="0" fontId="1" numFmtId="2" xfId="0" applyFont="1" applyNumberFormat="1"/>
    <xf borderId="25" fillId="0" fontId="1" numFmtId="2" xfId="0" applyBorder="1" applyFont="1" applyNumberFormat="1"/>
    <xf borderId="26" fillId="3" fontId="1" numFmtId="0" xfId="0" applyAlignment="1" applyBorder="1" applyFont="1">
      <alignment readingOrder="0"/>
    </xf>
    <xf borderId="26" fillId="3" fontId="1" numFmtId="164" xfId="0" applyAlignment="1" applyBorder="1" applyFont="1" applyNumberFormat="1">
      <alignment horizontal="center" readingOrder="0"/>
    </xf>
    <xf borderId="26" fillId="3" fontId="1" numFmtId="0" xfId="0" applyBorder="1" applyFont="1"/>
    <xf borderId="26" fillId="3" fontId="3" numFmtId="0" xfId="0" applyAlignment="1" applyBorder="1" applyFont="1">
      <alignment readingOrder="0"/>
    </xf>
    <xf borderId="26" fillId="3" fontId="1" numFmtId="164" xfId="0" applyBorder="1" applyFont="1" applyNumberFormat="1"/>
    <xf borderId="26" fillId="3" fontId="1" numFmtId="2" xfId="0" applyBorder="1" applyFont="1" applyNumberFormat="1"/>
    <xf borderId="0" fillId="5" fontId="2" numFmtId="2" xfId="0" applyAlignment="1" applyFont="1" applyNumberFormat="1">
      <alignment vertical="bottom"/>
    </xf>
    <xf borderId="0" fillId="0" fontId="1" numFmtId="164" xfId="0" applyFont="1" applyNumberFormat="1"/>
    <xf borderId="13" fillId="0" fontId="1" numFmtId="2" xfId="0" applyBorder="1" applyFont="1" applyNumberFormat="1"/>
    <xf borderId="13" fillId="7" fontId="2" numFmtId="2" xfId="0" applyAlignment="1" applyBorder="1" applyFill="1" applyFont="1" applyNumberFormat="1">
      <alignment vertical="bottom"/>
    </xf>
    <xf borderId="0" fillId="8" fontId="1" numFmtId="0" xfId="0" applyAlignment="1" applyFill="1" applyFont="1">
      <alignment readingOrder="0"/>
    </xf>
    <xf borderId="0" fillId="8" fontId="1" numFmtId="164" xfId="0" applyAlignment="1" applyFont="1" applyNumberFormat="1">
      <alignment horizontal="center" readingOrder="0"/>
    </xf>
    <xf borderId="0" fillId="8" fontId="1" numFmtId="0" xfId="0" applyFont="1"/>
    <xf borderId="0" fillId="8" fontId="1" numFmtId="164" xfId="0" applyFont="1" applyNumberFormat="1"/>
    <xf borderId="0" fillId="8" fontId="1" numFmtId="2" xfId="0" applyFont="1" applyNumberFormat="1"/>
    <xf borderId="13" fillId="8" fontId="1" numFmtId="2" xfId="0" applyBorder="1" applyFont="1" applyNumberFormat="1"/>
    <xf borderId="13" fillId="8" fontId="2" numFmtId="2" xfId="0" applyAlignment="1" applyBorder="1" applyFont="1" applyNumberFormat="1">
      <alignment vertical="bottom"/>
    </xf>
    <xf borderId="0" fillId="0" fontId="1" numFmtId="2" xfId="0" applyAlignment="1" applyFont="1" applyNumberFormat="1">
      <alignment readingOrder="0"/>
    </xf>
    <xf borderId="13" fillId="0" fontId="1" numFmtId="2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3" fillId="5" fontId="2" numFmtId="2" xfId="0" applyAlignment="1" applyBorder="1" applyFont="1" applyNumberFormat="1">
      <alignment vertical="bottom"/>
    </xf>
    <xf borderId="14" fillId="0" fontId="1" numFmtId="2" xfId="0" applyBorder="1" applyFont="1" applyNumberFormat="1"/>
    <xf borderId="19" fillId="0" fontId="1" numFmtId="2" xfId="0" applyBorder="1" applyFont="1" applyNumberFormat="1"/>
    <xf borderId="1" fillId="0" fontId="1" numFmtId="165" xfId="0" applyAlignment="1" applyBorder="1" applyFont="1" applyNumberFormat="1">
      <alignment readingOrder="0"/>
    </xf>
    <xf borderId="27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28" fillId="0" fontId="1" numFmtId="0" xfId="0" applyAlignment="1" applyBorder="1" applyFont="1">
      <alignment readingOrder="0"/>
    </xf>
    <xf borderId="0" fillId="9" fontId="1" numFmtId="0" xfId="0" applyFont="1"/>
    <xf borderId="28" fillId="0" fontId="1" numFmtId="166" xfId="0" applyBorder="1" applyFont="1" applyNumberFormat="1"/>
    <xf borderId="0" fillId="0" fontId="1" numFmtId="166" xfId="0" applyFont="1" applyNumberFormat="1"/>
    <xf borderId="27" fillId="0" fontId="1" numFmtId="166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29" fillId="0" fontId="1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29" fillId="0" fontId="1" numFmtId="0" xfId="0" applyBorder="1" applyFont="1"/>
    <xf borderId="1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1" fillId="0" fontId="1" numFmtId="0" xfId="0" applyBorder="1" applyFont="1"/>
    <xf borderId="1" fillId="9" fontId="1" numFmtId="0" xfId="0" applyBorder="1" applyFont="1"/>
    <xf borderId="27" fillId="0" fontId="1" numFmtId="166" xfId="0" applyBorder="1" applyFont="1" applyNumberFormat="1"/>
    <xf borderId="1" fillId="0" fontId="1" numFmtId="166" xfId="0" applyBorder="1" applyFont="1" applyNumberFormat="1"/>
    <xf borderId="0" fillId="0" fontId="1" numFmtId="0" xfId="0" applyAlignment="1" applyFont="1">
      <alignment horizontal="center" readingOrder="0"/>
    </xf>
    <xf borderId="28" fillId="0" fontId="1" numFmtId="0" xfId="0" applyBorder="1" applyFont="1"/>
    <xf borderId="27" fillId="0" fontId="1" numFmtId="0" xfId="0" applyBorder="1" applyFont="1"/>
    <xf borderId="0" fillId="9" fontId="4" numFmtId="0" xfId="0" applyFont="1"/>
    <xf borderId="0" fillId="9" fontId="4" numFmtId="0" xfId="0" applyFont="1"/>
    <xf borderId="28" fillId="0" fontId="1" numFmtId="164" xfId="0" applyBorder="1" applyFont="1" applyNumberFormat="1"/>
    <xf borderId="0" fillId="0" fontId="1" numFmtId="1" xfId="0" applyFont="1" applyNumberFormat="1"/>
    <xf borderId="0" fillId="9" fontId="1" numFmtId="0" xfId="0" applyFont="1"/>
    <xf borderId="27" fillId="0" fontId="1" numFmtId="164" xfId="0" applyBorder="1" applyFont="1" applyNumberFormat="1"/>
    <xf borderId="1" fillId="0" fontId="1" numFmtId="164" xfId="0" applyBorder="1" applyFont="1" applyNumberFormat="1"/>
    <xf borderId="0" fillId="0" fontId="1" numFmtId="0" xfId="0" applyFont="1"/>
    <xf borderId="30" fillId="0" fontId="1" numFmtId="164" xfId="0" applyBorder="1" applyFont="1" applyNumberFormat="1"/>
    <xf borderId="29" fillId="0" fontId="1" numFmtId="164" xfId="0" applyBorder="1" applyFont="1" applyNumberFormat="1"/>
    <xf borderId="31" fillId="0" fontId="2" numFmtId="0" xfId="0" applyAlignment="1" applyBorder="1" applyFont="1">
      <alignment horizontal="right" vertical="bottom"/>
    </xf>
    <xf borderId="28" fillId="0" fontId="2" numFmtId="0" xfId="0" applyAlignment="1" applyBorder="1" applyFont="1">
      <alignment horizontal="right" vertical="bottom"/>
    </xf>
    <xf borderId="1" fillId="10" fontId="1" numFmtId="0" xfId="0" applyAlignment="1" applyBorder="1" applyFill="1" applyFont="1">
      <alignment readingOrder="0"/>
    </xf>
    <xf borderId="27" fillId="10" fontId="1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8" fillId="10" fontId="1" numFmtId="0" xfId="0" applyBorder="1" applyFont="1"/>
    <xf borderId="32" fillId="10" fontId="1" numFmtId="0" xfId="0" applyAlignment="1" applyBorder="1" applyFont="1">
      <alignment readingOrder="0"/>
    </xf>
    <xf borderId="8" fillId="9" fontId="1" numFmtId="0" xfId="0" applyBorder="1" applyFont="1"/>
    <xf borderId="32" fillId="10" fontId="1" numFmtId="0" xfId="0" applyBorder="1" applyFont="1"/>
    <xf borderId="0" fillId="0" fontId="1" numFmtId="0" xfId="0" applyAlignment="1" applyFont="1">
      <alignment horizontal="center"/>
    </xf>
    <xf borderId="14" fillId="10" fontId="1" numFmtId="0" xfId="0" applyBorder="1" applyFont="1"/>
    <xf borderId="33" fillId="10" fontId="1" numFmtId="0" xfId="0" applyAlignment="1" applyBorder="1" applyFont="1">
      <alignment readingOrder="0"/>
    </xf>
    <xf borderId="14" fillId="9" fontId="1" numFmtId="0" xfId="0" applyBorder="1" applyFont="1"/>
    <xf borderId="33" fillId="10" fontId="1" numFmtId="0" xfId="0" applyBorder="1" applyFont="1"/>
    <xf borderId="34" fillId="10" fontId="1" numFmtId="0" xfId="0" applyBorder="1" applyFont="1"/>
    <xf borderId="14" fillId="10" fontId="1" numFmtId="0" xfId="0" applyAlignment="1" applyBorder="1" applyFont="1">
      <alignment readingOrder="0"/>
    </xf>
    <xf borderId="1" fillId="11" fontId="1" numFmtId="0" xfId="0" applyAlignment="1" applyBorder="1" applyFill="1" applyFont="1">
      <alignment readingOrder="0"/>
    </xf>
    <xf borderId="27" fillId="9" fontId="1" numFmtId="0" xfId="0" applyAlignment="1" applyBorder="1" applyFont="1">
      <alignment readingOrder="0"/>
    </xf>
    <xf borderId="1" fillId="9" fontId="1" numFmtId="0" xfId="0" applyAlignment="1" applyBorder="1" applyFont="1">
      <alignment readingOrder="0"/>
    </xf>
    <xf borderId="27" fillId="11" fontId="1" numFmtId="0" xfId="0" applyAlignment="1" applyBorder="1" applyFont="1">
      <alignment readingOrder="0"/>
    </xf>
    <xf borderId="8" fillId="11" fontId="1" numFmtId="0" xfId="0" applyBorder="1" applyFont="1"/>
    <xf borderId="35" fillId="9" fontId="2" numFmtId="0" xfId="0" applyAlignment="1" applyBorder="1" applyFont="1">
      <alignment horizontal="right" vertical="bottom"/>
    </xf>
    <xf borderId="32" fillId="11" fontId="1" numFmtId="164" xfId="0" applyBorder="1" applyFont="1" applyNumberFormat="1"/>
    <xf borderId="8" fillId="1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14" fillId="11" fontId="1" numFmtId="0" xfId="0" applyBorder="1" applyFont="1"/>
    <xf borderId="33" fillId="9" fontId="2" numFmtId="0" xfId="0" applyAlignment="1" applyBorder="1" applyFont="1">
      <alignment horizontal="right" vertical="bottom"/>
    </xf>
    <xf borderId="33" fillId="11" fontId="1" numFmtId="164" xfId="0" applyBorder="1" applyFont="1" applyNumberFormat="1"/>
    <xf borderId="14" fillId="11" fontId="1" numFmtId="164" xfId="0" applyBorder="1" applyFont="1" applyNumberFormat="1"/>
    <xf borderId="19" fillId="11" fontId="1" numFmtId="0" xfId="0" applyBorder="1" applyFont="1"/>
    <xf borderId="36" fillId="9" fontId="2" numFmtId="0" xfId="0" applyAlignment="1" applyBorder="1" applyFont="1">
      <alignment horizontal="right" vertical="bottom"/>
    </xf>
    <xf borderId="19" fillId="9" fontId="1" numFmtId="0" xfId="0" applyBorder="1" applyFont="1"/>
    <xf borderId="36" fillId="11" fontId="1" numFmtId="164" xfId="0" applyBorder="1" applyFont="1" applyNumberFormat="1"/>
    <xf borderId="19" fillId="11" fontId="1" numFmtId="164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eason Totals-style">
      <tableStyleElement dxfId="1" type="headerRow"/>
      <tableStyleElement dxfId="2" type="firstRowStripe"/>
      <tableStyleElement dxfId="3" type="secondRowStripe"/>
    </tableStyle>
    <tableStyle count="3" pivot="0" name="Revised 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Y21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eason Tot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64:U72" displayName="Table_2" name="Table_2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Revised 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.63"/>
    <col customWidth="1" min="3" max="3" width="1.88"/>
    <col customWidth="1" min="4" max="4" width="2.13"/>
    <col customWidth="1" min="5" max="5" width="5.13"/>
    <col customWidth="1" min="6" max="6" width="3.13"/>
    <col customWidth="1" min="7" max="8" width="2.88"/>
    <col customWidth="1" min="9" max="9" width="3.25"/>
    <col customWidth="1" min="10" max="10" width="3.75"/>
    <col customWidth="1" min="11" max="12" width="5.13"/>
    <col customWidth="1" min="13" max="13" width="5.25"/>
    <col customWidth="1" min="14" max="15" width="6.25"/>
    <col customWidth="1" min="16" max="17" width="2.88"/>
    <col customWidth="1" min="18" max="18" width="3.25"/>
    <col customWidth="1" min="19" max="20" width="3.38"/>
    <col customWidth="1" min="21" max="21" width="4.38"/>
    <col customWidth="1" min="22" max="22" width="5.38"/>
    <col customWidth="1" min="23" max="23" width="4.75"/>
    <col customWidth="1" min="24" max="25" width="6.13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5" t="s">
        <v>9</v>
      </c>
      <c r="L1" s="5" t="s">
        <v>10</v>
      </c>
      <c r="M1" s="7" t="s">
        <v>11</v>
      </c>
      <c r="N1" s="8" t="s">
        <v>12</v>
      </c>
      <c r="O1" s="9" t="s">
        <v>13</v>
      </c>
      <c r="P1" s="5" t="s">
        <v>14</v>
      </c>
      <c r="Q1" s="5" t="s">
        <v>6</v>
      </c>
      <c r="R1" s="5" t="s">
        <v>7</v>
      </c>
      <c r="S1" s="5" t="s">
        <v>15</v>
      </c>
      <c r="T1" s="6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1" t="s">
        <v>13</v>
      </c>
    </row>
    <row r="2">
      <c r="A2" s="12" t="s">
        <v>21</v>
      </c>
      <c r="B2" s="13">
        <v>3.0</v>
      </c>
      <c r="C2" s="14">
        <v>3.0</v>
      </c>
      <c r="D2" s="15">
        <v>2.0</v>
      </c>
      <c r="E2" s="16">
        <f t="shared" ref="E2:E9" si="1">(B2+(D2*0.5))/(B2+C2+D2)</f>
        <v>0.5</v>
      </c>
      <c r="F2" s="17">
        <f>sum(vlookup($A2,'G1'!$A$12:$J$19,2,false),vlookup($A2,'G2'!$A$12:$K$19,2,false),vlookup($A2,'G3'!$A$13:$K$21,2,false),vlookup($A2,'G4'!$A$12:$J$19,2,false),vlookup($A2,'G5'!$A$12:$K$19,2,false),vlookup($A2,'G6'!$A$12:$J$19,2,false),vlookup($A2,'G7'!$A$12:$K$19,2,false),vlookup($A2,'G8'!$A$12:$K$19,2,false))</f>
        <v>61</v>
      </c>
      <c r="G2" s="17">
        <f>sum(vlookup($A2,'G1'!$A$12:$J$19,7,false), vlookup($A2,'G2'!$A$12:$K$19,7,false),vlookup($A2,'G3'!$A$12:$K$21,7,false),vlookup($A2,'G4'!$A$12:$J$19,7,false),vlookup($A2,'G5'!$A$12:$K$19,7,false),vlookup($A2,'G6'!$A$12:$K$19,7,false), vlookup($A2,'G7'!$A$12:$K$19,7,false), vlookup($A2,'G8'!$A$12:$K$19,7,false))</f>
        <v>13</v>
      </c>
      <c r="H2" s="18">
        <f>sum(vlookup($A2,'G1'!$A$12:$J$19,3,false), vlookup($A2,'G2'!$A$12:$K$19,3,false),vlookup($A2,'G3'!$A$12:$K$21,3,false),vlookup($A2,'G4'!$A$12:$J$19,3,false),vlookup($A2,'G5'!$A$12:$K$19,3,false),vlookup($A2,'G6'!$A$12:$K$19,3,false), vlookup($A2,'G7'!$A$12:$K$19,3,false), vlookup($A2,'G8'!$A$12:$K$19,3,false))</f>
        <v>14</v>
      </c>
      <c r="I2" s="18">
        <f>sum(vlookup($A2,'G1'!$A$12:$J$19,4,false),vlookup($A2,'G2'!$A$12:$K$19,4,false),vlookup($A2,'G3'!$A$12:$K$21,4,false),vlookup($A2,'G4'!$A$12:$J$19,4,false),vlookup($A2,'G5'!$A$12:$K$19,4,false),vlookup($A2,'G6'!$A$12:$K$19,4,false), vlookup($A2,'G7'!$A$12:$K$19,4,false), vlookup($A2,'G8'!$A$12:$K$19,4,false))</f>
        <v>12</v>
      </c>
      <c r="J2" s="19">
        <f>sum(vlookup($A2,'G1'!$A$12:$J$19,6,false),vlookup($A2,'G2'!$A$12:$K$19,6,false),vlookup($A2,'G3'!$A$12:$K$21,6,false),vlookup($A2,'G4'!$A$12:$J$19,6,false),vlookup($A2,'G5'!$A$12:$K$19,6,false),vlookup($A2,'G6'!$A$12:$K$19,6,false), vlookup($A2,'G7'!$A$12:$K$19,6,false), vlookup($A2,'G8'!$A$12:$K$19,6,false))</f>
        <v>4</v>
      </c>
      <c r="K2" s="20">
        <f t="shared" ref="K2:K9" si="2">G2/(F2-I2)</f>
        <v>0.2653061224</v>
      </c>
      <c r="L2" s="20">
        <f t="shared" ref="L2:L9" si="3">H2/F2</f>
        <v>0.2295081967</v>
      </c>
      <c r="M2" s="21">
        <f t="shared" ref="M2:M9" si="4">(G2+I2)/F2</f>
        <v>0.4098360656</v>
      </c>
      <c r="N2" s="22">
        <f t="array" ref="N2">SUMPRODUCT(G2:J2/sum($B2:$C2),$G$10:$J$10)+FLOOR((K2-$K$10)/0.5,1)+FLOOR((L2-$L$10)/0.5,1)+FLOOR((M2/$M$10)/0.75,1)</f>
        <v>4.25</v>
      </c>
      <c r="O2" s="23">
        <f t="shared" ref="O2:O9" si="5">RANK(N2,$N$2:$N$9)</f>
        <v>2</v>
      </c>
      <c r="P2" s="24">
        <f>sum(vlookup($A2,'G1'!$A$2:$J$9,2,false), vlookup($A2,'G2'!$A$2:$J$9,2,false), vlookup($A2,'G3'!$A$2:$J$10,2,false), vlookup($A2,'G4'!$A$2:$J$11,2,false), vlookup($A2,'G5'!$A$2:$J$11,2,false),vlookup($A2,'G6'!$A$2:$J$12,2,false), vlookup($A2,'G7'!$A$2:$J$10,2,false), vlookup($A2,'G8'!$A$2:$K$9,2,false))</f>
        <v>17</v>
      </c>
      <c r="Q2" s="18">
        <f>sum(vlookup($A2,'G1'!$A$2:$J$9,3,false), vlookup($A2,'G2'!$A$2:$J$9,3,false), vlookup($A2,'G3'!$A$2:$J$10,3,false), vlookup($A2,'G4'!$A$2:$J$9,3,false), vlookup($A2,'G5'!$A$2:$J$9,3,false),vlookup($A2,'G6'!$A$2:$J$9,3,false), vlookup($A2,'G7'!$A$2:$J$9,3,false), vlookup($A2,'G8'!$A$2:$K$9,3,false))</f>
        <v>15</v>
      </c>
      <c r="R2" s="18">
        <f>sum(vlookup($A2,'G1'!$A$2:$J$9,4,false), vlookup($A2,'G2'!$A$2:$J$9,4,false), vlookup($A2,'G3'!$A$2:$J$10,4,false), vlookup($A2,'G4'!$A$2:$J$9,4,false), vlookup($A2,'G5'!$A$2:$J$9,4,false),vlookup($A2,'G6'!$A$2:$J$9,4,false), vlookup($A2,'G7'!$A$2:$J$9,4,false),vlookup($A2,'G8'!$A$2:$K$9,4,false))</f>
        <v>7</v>
      </c>
      <c r="S2" s="18">
        <f>sum(vlookup($A2,'G1'!$A$2:$J$9,6,false), vlookup($A2,'G2'!$A$2:$J$9,6,false), vlookup($A2,'G3'!$A$2:$J$10,6,false), vlookup($A2,'G4'!$A$2:$J$9,6,false), vlookup($A2,'G5'!$A$2:$J$9,6,false),vlookup($A2,'G6'!$A$2:$J$9,6,false), vlookup($A2,'G7'!$A$2:$J$9,6,false), vlookup($A2,'G8'!$A$2:$K$9,6,false))</f>
        <v>12</v>
      </c>
      <c r="T2" s="19">
        <f>sum(vlookup($A2,'G1'!$A$2:$J$9,5,false), vlookup($A2,'G2'!$A$2:$J$9,5,false), vlookup($A2,'G3'!$A$2:$J$10,5,false), vlookup($A2,'G4'!$A$2:$J$9,5,false), vlookup($A2,'G5'!$A$2:$J$9,5,false),vlookup($A2,'G6'!$A$2:$J$9,5,false), vlookup($A2,'G7'!$A$2:$J$9,5,false), vlookup($A2,'G8'!$A$2:$K$9,5,false))</f>
        <v>3</v>
      </c>
      <c r="U2" s="25">
        <f t="shared" ref="U2:U9" si="6">(9*T2)/P2</f>
        <v>1.588235294</v>
      </c>
      <c r="V2" s="26">
        <f t="shared" ref="V2:V9" si="7">(R2+S2)/P2</f>
        <v>1.117647059</v>
      </c>
      <c r="W2" s="27">
        <f t="shared" ref="W2:W9" si="8">Q2/R2</f>
        <v>2.142857143</v>
      </c>
      <c r="X2" s="22">
        <f t="array" ref="X2">SUMPRODUCT(Q2:T2/P2,$Q$10:$T$10)+FLOOR((U2-$U$10)/-1,1)+FLOOR((V2-$V$10)/-0.5,1)+floor((W2-$W$10)/0.5,1)</f>
        <v>2.588235294</v>
      </c>
      <c r="Y2" s="28">
        <f t="shared" ref="Y2:Y9" si="9">RANK(X2,$X$2:$X$9)</f>
        <v>3</v>
      </c>
    </row>
    <row r="3">
      <c r="A3" s="29" t="s">
        <v>22</v>
      </c>
      <c r="B3" s="30">
        <v>4.0</v>
      </c>
      <c r="C3" s="31">
        <v>2.0</v>
      </c>
      <c r="D3" s="15">
        <v>2.0</v>
      </c>
      <c r="E3" s="16">
        <f t="shared" si="1"/>
        <v>0.625</v>
      </c>
      <c r="F3" s="17">
        <f>sum(vlookup($A3,'G1'!$A$12:$J$19,2,false),vlookup($A3,'G2'!$A$12:$K$19,2,false),vlookup($A3,'G3'!$A$13:$K$21,2,false),vlookup($A3,'G4'!$A$12:$J$19,2,false),vlookup($A3,'G5'!$A$12:$K$19,2,false),vlookup($A3,'G6'!$A$12:$J$19,2,false),vlookup($A3,'G7'!$A$12:$K$19,2,false),vlookup($A3,'G8'!$A$12:$K$19,2,false))</f>
        <v>57</v>
      </c>
      <c r="G3" s="17">
        <f>sum(vlookup($A3,'G1'!$A$12:$J$19,7,false), vlookup($A3,'G2'!$A$12:$K$19,7,false),vlookup($A3,'G3'!$A$12:$K$21,7,false),vlookup($A3,'G4'!$A$12:$J$19,7,false),vlookup($A3,'G5'!$A$12:$K$19,7,false),vlookup($A3,'G6'!$A$12:$K$19,7,false), vlookup($A3,'G7'!$A$12:$K$19,7,false), vlookup($A3,'G8'!$A$12:$K$19,7,false))</f>
        <v>17</v>
      </c>
      <c r="H3" s="18">
        <f>sum(vlookup($A3,'G1'!$A$12:$J$19,3,false), vlookup($A3,'G2'!$A$12:$K$19,3,false),vlookup($A3,'G3'!$A$12:$K$21,3,false),vlookup($A3,'G4'!$A$12:$J$19,3,false),vlookup($A3,'G5'!$A$12:$K$19,3,false),vlookup($A3,'G6'!$A$12:$K$19,3,false), vlookup($A3,'G7'!$A$12:$K$19,3,false), vlookup($A3,'G8'!$A$12:$K$19,3,false))</f>
        <v>11</v>
      </c>
      <c r="I3" s="18">
        <f>sum(vlookup($A3,'G1'!$A$12:$J$19,4,false),vlookup($A3,'G2'!$A$12:$K$19,4,false),vlookup($A3,'G3'!$A$12:$K$21,4,false),vlookup($A3,'G4'!$A$12:$J$19,4,false),vlookup($A3,'G5'!$A$12:$K$19,4,false),vlookup($A3,'G6'!$A$12:$K$19,4,false), vlookup($A3,'G7'!$A$12:$K$19,4,false), vlookup($A3,'G8'!$A$12:$K$19,4,false))</f>
        <v>6</v>
      </c>
      <c r="J3" s="19">
        <f>sum(vlookup($A3,'G1'!$A$12:$J$19,6,false),vlookup($A3,'G2'!$A$12:$K$19,6,false),vlookup($A3,'G3'!$A$12:$K$21,6,false),vlookup($A3,'G4'!$A$12:$J$19,6,false),vlookup($A3,'G5'!$A$12:$K$19,6,false),vlookup($A3,'G6'!$A$12:$K$19,6,false), vlookup($A3,'G7'!$A$12:$K$19,6,false), vlookup($A3,'G8'!$A$12:$K$19,6,false))</f>
        <v>1</v>
      </c>
      <c r="K3" s="32">
        <f t="shared" si="2"/>
        <v>0.3333333333</v>
      </c>
      <c r="L3" s="20">
        <f t="shared" si="3"/>
        <v>0.1929824561</v>
      </c>
      <c r="M3" s="33">
        <f t="shared" si="4"/>
        <v>0.4035087719</v>
      </c>
      <c r="N3" s="22">
        <f t="array" ref="N3">SUMPRODUCT(G3:J3/sum($B3:$C3),$G$10:$J$10)+FLOOR((K3-$K$10)/0.5,1)+FLOOR((L3-$L$10)/0.5,1)+FLOOR((M3/$M$10)/0.75,1)</f>
        <v>3.75</v>
      </c>
      <c r="O3" s="34">
        <f t="shared" si="5"/>
        <v>4</v>
      </c>
      <c r="P3" s="24">
        <f>sum(vlookup($A3,'G1'!$A$2:$J$9,2,false), vlookup($A3,'G2'!$A$2:$J$9,2,false), vlookup($A3,'G3'!$A$2:$J$10,2,false), vlookup($A3,'G4'!$A$2:$J$11,2,false), vlookup($A3,'G5'!$A$2:$J$11,2,false),vlookup($A3,'G6'!$A$2:$J$12,2,false), vlookup($A3,'G7'!$A$2:$J$10,2,false), vlookup($A3,'G8'!$A$2:$K$9,2,false))</f>
        <v>14</v>
      </c>
      <c r="Q3" s="18">
        <f>sum(vlookup($A3,'G1'!$A$2:$J$9,3,false), vlookup($A3,'G2'!$A$2:$J$9,3,false), vlookup($A3,'G3'!$A$2:$J$10,3,false), vlookup($A3,'G4'!$A$2:$J$9,3,false), vlookup($A3,'G5'!$A$2:$J$9,3,false),vlookup($A3,'G6'!$A$2:$J$9,3,false), vlookup($A3,'G7'!$A$2:$J$9,3,false), vlookup($A3,'G8'!$A$2:$K$9,3,false))</f>
        <v>22</v>
      </c>
      <c r="R3" s="18">
        <f>sum(vlookup($A3,'G1'!$A$2:$J$9,4,false), vlookup($A3,'G2'!$A$2:$J$9,4,false), vlookup($A3,'G3'!$A$2:$J$10,4,false), vlookup($A3,'G4'!$A$2:$J$9,4,false), vlookup($A3,'G5'!$A$2:$J$9,4,false),vlookup($A3,'G6'!$A$2:$J$9,4,false), vlookup($A3,'G7'!$A$2:$J$9,4,false),vlookup($A3,'G8'!$A$2:$K$9,4,false))</f>
        <v>11</v>
      </c>
      <c r="S3" s="18">
        <f>sum(vlookup($A3,'G1'!$A$2:$J$9,6,false), vlookup($A3,'G2'!$A$2:$J$9,6,false), vlookup($A3,'G3'!$A$2:$J$10,6,false), vlookup($A3,'G4'!$A$2:$J$9,6,false), vlookup($A3,'G5'!$A$2:$J$9,6,false),vlookup($A3,'G6'!$A$2:$J$9,6,false), vlookup($A3,'G7'!$A$2:$J$9,6,false), vlookup($A3,'G8'!$A$2:$K$9,6,false))</f>
        <v>7</v>
      </c>
      <c r="T3" s="19">
        <f>sum(vlookup($A3,'G1'!$A$2:$J$9,5,false), vlookup($A3,'G2'!$A$2:$J$9,5,false), vlookup($A3,'G3'!$A$2:$J$10,5,false), vlookup($A3,'G4'!$A$2:$J$9,5,false), vlookup($A3,'G5'!$A$2:$J$9,5,false),vlookup($A3,'G6'!$A$2:$J$9,5,false), vlookup($A3,'G7'!$A$2:$J$9,5,false), vlookup($A3,'G8'!$A$2:$K$9,5,false))</f>
        <v>2</v>
      </c>
      <c r="U3" s="26">
        <f t="shared" si="6"/>
        <v>1.285714286</v>
      </c>
      <c r="V3" s="26">
        <f t="shared" si="7"/>
        <v>1.285714286</v>
      </c>
      <c r="W3" s="35">
        <f t="shared" si="8"/>
        <v>2</v>
      </c>
      <c r="X3" s="22">
        <f t="array" ref="X3">SUMPRODUCT(Q3:T3/P3,$Q$10:$T$10)+FLOOR((U3-$U$10)/-1,1)+FLOOR((V3-$V$10)/-0.5,1)+floor((W3-$W$10)/0.5,1)</f>
        <v>3.035714286</v>
      </c>
      <c r="Y3" s="36">
        <f t="shared" si="9"/>
        <v>2</v>
      </c>
    </row>
    <row r="4">
      <c r="A4" s="29" t="s">
        <v>23</v>
      </c>
      <c r="B4" s="31">
        <v>1.0</v>
      </c>
      <c r="C4" s="31">
        <v>2.0</v>
      </c>
      <c r="D4" s="15">
        <v>2.0</v>
      </c>
      <c r="E4" s="16">
        <f t="shared" si="1"/>
        <v>0.4</v>
      </c>
      <c r="F4" s="17">
        <f>sum(vlookup($A4,'G1'!$A$12:$J$19,2,false),vlookup($A4,'G2'!$A$12:$K$19,2,false),vlookup($A4,'G3'!$A$13:$K$21,2,false),vlookup($A4,'G4'!$A$12:$J$19,2,false),vlookup($A4,'G5'!$A$12:$K$19,2,false),vlookup($A4,'G6'!$A$12:$J$19,2,false),vlookup($A4,'G7'!$A$12:$K$19,2,false),vlookup($A4,'G8'!$A$12:$K$19,2,false))</f>
        <v>34</v>
      </c>
      <c r="G4" s="17">
        <f>sum(vlookup($A4,'G1'!$A$12:$J$19,7,false), vlookup($A4,'G2'!$A$12:$K$19,7,false),vlookup($A4,'G3'!$A$12:$K$21,7,false),vlookup($A4,'G4'!$A$12:$J$19,7,false),vlookup($A4,'G5'!$A$12:$K$19,7,false),vlookup($A4,'G6'!$A$12:$K$19,7,false), vlookup($A4,'G7'!$A$12:$K$19,7,false), vlookup($A4,'G8'!$A$12:$K$19,7,false))</f>
        <v>5</v>
      </c>
      <c r="H4" s="18">
        <f>sum(vlookup($A4,'G1'!$A$12:$J$19,3,false), vlookup($A4,'G2'!$A$12:$K$19,3,false),vlookup($A4,'G3'!$A$12:$K$21,3,false),vlookup($A4,'G4'!$A$12:$J$19,3,false),vlookup($A4,'G5'!$A$12:$K$19,3,false),vlookup($A4,'G6'!$A$12:$K$19,3,false), vlookup($A4,'G7'!$A$12:$K$19,3,false), vlookup($A4,'G8'!$A$12:$K$19,3,false))</f>
        <v>9</v>
      </c>
      <c r="I4" s="18">
        <f>sum(vlookup($A4,'G1'!$A$12:$J$19,4,false),vlookup($A4,'G2'!$A$12:$K$19,4,false),vlookup($A4,'G3'!$A$12:$K$21,4,false),vlookup($A4,'G4'!$A$12:$J$19,4,false),vlookup($A4,'G5'!$A$12:$K$19,4,false),vlookup($A4,'G6'!$A$12:$K$19,4,false), vlookup($A4,'G7'!$A$12:$K$19,4,false), vlookup($A4,'G8'!$A$12:$K$19,4,false))</f>
        <v>4</v>
      </c>
      <c r="J4" s="19">
        <f>sum(vlookup($A4,'G1'!$A$12:$J$19,6,false),vlookup($A4,'G2'!$A$12:$K$19,6,false),vlookup($A4,'G3'!$A$12:$K$21,6,false),vlookup($A4,'G4'!$A$12:$J$19,6,false),vlookup($A4,'G5'!$A$12:$K$19,6,false),vlookup($A4,'G6'!$A$12:$K$19,6,false), vlookup($A4,'G7'!$A$12:$K$19,6,false), vlookup($A4,'G8'!$A$12:$K$19,6,false))</f>
        <v>3</v>
      </c>
      <c r="K4" s="37">
        <f t="shared" si="2"/>
        <v>0.1666666667</v>
      </c>
      <c r="L4" s="20">
        <f t="shared" si="3"/>
        <v>0.2647058824</v>
      </c>
      <c r="M4" s="38">
        <f t="shared" si="4"/>
        <v>0.2647058824</v>
      </c>
      <c r="N4" s="22">
        <f t="array" ref="N4">SUMPRODUCT(G4:J4/sum($B4:$C4),$G$10:$J$10)+FLOOR((K4-$K$10)/0.5,1)+FLOOR((L4-$L$10)/0.5,1)+FLOOR((M4/$M$10)/0.75,1)</f>
        <v>1.833333333</v>
      </c>
      <c r="O4" s="34">
        <f t="shared" si="5"/>
        <v>7</v>
      </c>
      <c r="P4" s="24">
        <f>sum(vlookup($A4,'G1'!$A$2:$J$9,2,false), vlookup($A4,'G2'!$A$2:$J$9,2,false), vlookup($A4,'G3'!$A$2:$J$10,2,false), vlookup($A4,'G4'!$A$2:$J$11,2,false), vlookup($A4,'G5'!$A$2:$J$11,2,false),vlookup($A4,'G6'!$A$2:$J$12,2,false), vlookup($A4,'G7'!$A$2:$J$10,2,false), vlookup($A4,'G8'!$A$2:$K$9,2,false))</f>
        <v>7</v>
      </c>
      <c r="Q4" s="18">
        <f>sum(vlookup($A4,'G1'!$A$2:$J$9,3,false), vlookup($A4,'G2'!$A$2:$J$9,3,false), vlookup($A4,'G3'!$A$2:$J$10,3,false), vlookup($A4,'G4'!$A$2:$J$9,3,false), vlookup($A4,'G5'!$A$2:$J$9,3,false),vlookup($A4,'G6'!$A$2:$J$9,3,false), vlookup($A4,'G7'!$A$2:$J$9,3,false), vlookup($A4,'G8'!$A$2:$K$9,3,false))</f>
        <v>2</v>
      </c>
      <c r="R4" s="18">
        <f>sum(vlookup($A4,'G1'!$A$2:$J$9,4,false), vlookup($A4,'G2'!$A$2:$J$9,4,false), vlookup($A4,'G3'!$A$2:$J$10,4,false), vlookup($A4,'G4'!$A$2:$J$9,4,false), vlookup($A4,'G5'!$A$2:$J$9,4,false),vlookup($A4,'G6'!$A$2:$J$9,4,false), vlookup($A4,'G7'!$A$2:$J$9,4,false),vlookup($A4,'G8'!$A$2:$K$9,4,false))</f>
        <v>3</v>
      </c>
      <c r="S4" s="18">
        <f>sum(vlookup($A4,'G1'!$A$2:$J$9,6,false), vlookup($A4,'G2'!$A$2:$J$9,6,false), vlookup($A4,'G3'!$A$2:$J$10,6,false), vlookup($A4,'G4'!$A$2:$J$9,6,false), vlookup($A4,'G5'!$A$2:$J$9,6,false),vlookup($A4,'G6'!$A$2:$J$9,6,false), vlookup($A4,'G7'!$A$2:$J$9,6,false), vlookup($A4,'G8'!$A$2:$K$9,6,false))</f>
        <v>8</v>
      </c>
      <c r="T4" s="19">
        <f>sum(vlookup($A4,'G1'!$A$2:$J$9,5,false), vlookup($A4,'G2'!$A$2:$J$9,5,false), vlookup($A4,'G3'!$A$2:$J$10,5,false), vlookup($A4,'G4'!$A$2:$J$9,5,false), vlookup($A4,'G5'!$A$2:$J$9,5,false),vlookup($A4,'G6'!$A$2:$J$9,5,false), vlookup($A4,'G7'!$A$2:$J$9,5,false), vlookup($A4,'G8'!$A$2:$K$9,5,false))</f>
        <v>1</v>
      </c>
      <c r="U4" s="26">
        <f t="shared" si="6"/>
        <v>1.285714286</v>
      </c>
      <c r="V4" s="25">
        <f t="shared" si="7"/>
        <v>1.571428571</v>
      </c>
      <c r="W4" s="35">
        <f t="shared" si="8"/>
        <v>0.6666666667</v>
      </c>
      <c r="X4" s="22">
        <f t="array" ref="X4">SUMPRODUCT(Q4:T4/P4,$Q$10:$T$10)+FLOOR((U4-$U$10)/-1,1)+FLOOR((V4-$V$10)/-0.5,1)+floor((W4-$W$10)/0.5,1)</f>
        <v>-3</v>
      </c>
      <c r="Y4" s="39">
        <f t="shared" si="9"/>
        <v>7</v>
      </c>
    </row>
    <row r="5">
      <c r="A5" s="29" t="s">
        <v>24</v>
      </c>
      <c r="B5" s="31">
        <v>1.0</v>
      </c>
      <c r="C5" s="31">
        <v>3.0</v>
      </c>
      <c r="D5" s="15">
        <v>1.0</v>
      </c>
      <c r="E5" s="16">
        <f t="shared" si="1"/>
        <v>0.3</v>
      </c>
      <c r="F5" s="17">
        <f>sum(vlookup($A5,'G1'!$A$12:$J$19,2,false),vlookup($A5,'G2'!$A$12:$K$19,2,false),vlookup($A5,'G3'!$A$13:$K$21,2,false),vlookup($A5,'G4'!$A$12:$J$19,2,false),vlookup($A5,'G5'!$A$12:$K$19,2,false),vlookup($A5,'G6'!$A$12:$J$19,2,false),vlookup($A5,'G7'!$A$12:$K$19,2,false),vlookup($A5,'G8'!$A$12:$K$19,2,false))</f>
        <v>33</v>
      </c>
      <c r="G5" s="17">
        <f>sum(vlookup($A5,'G1'!$A$12:$J$19,7,false), vlookup($A5,'G2'!$A$12:$K$19,7,false),vlookup($A5,'G3'!$A$12:$K$21,7,false),vlookup($A5,'G4'!$A$12:$J$19,7,false),vlookup($A5,'G5'!$A$12:$K$19,7,false),vlookup($A5,'G6'!$A$12:$K$19,7,false), vlookup($A5,'G7'!$A$12:$K$19,7,false), vlookup($A5,'G8'!$A$12:$K$19,7,false))</f>
        <v>10</v>
      </c>
      <c r="H5" s="18">
        <f>sum(vlookup($A5,'G1'!$A$12:$J$19,3,false), vlookup($A5,'G2'!$A$12:$K$19,3,false),vlookup($A5,'G3'!$A$12:$K$21,3,false),vlookup($A5,'G4'!$A$12:$J$19,3,false),vlookup($A5,'G5'!$A$12:$K$19,3,false),vlookup($A5,'G6'!$A$12:$K$19,3,false), vlookup($A5,'G7'!$A$12:$K$19,3,false), vlookup($A5,'G8'!$A$12:$K$19,3,false))</f>
        <v>7</v>
      </c>
      <c r="I5" s="18">
        <f>sum(vlookup($A5,'G1'!$A$12:$J$19,4,false),vlookup($A5,'G2'!$A$12:$K$19,4,false),vlookup($A5,'G3'!$A$12:$K$21,4,false),vlookup($A5,'G4'!$A$12:$J$19,4,false),vlookup($A5,'G5'!$A$12:$K$19,4,false),vlookup($A5,'G6'!$A$12:$K$19,4,false), vlookup($A5,'G7'!$A$12:$K$19,4,false), vlookup($A5,'G8'!$A$12:$K$19,4,false))</f>
        <v>5</v>
      </c>
      <c r="J5" s="19">
        <f>sum(vlookup($A5,'G1'!$A$12:$J$19,6,false),vlookup($A5,'G2'!$A$12:$K$19,6,false),vlookup($A5,'G3'!$A$12:$K$21,6,false),vlookup($A5,'G4'!$A$12:$J$19,6,false),vlookup($A5,'G5'!$A$12:$K$19,6,false),vlookup($A5,'G6'!$A$12:$K$19,6,false), vlookup($A5,'G7'!$A$12:$K$19,6,false), vlookup($A5,'G8'!$A$12:$K$19,6,false))</f>
        <v>2</v>
      </c>
      <c r="K5" s="32">
        <f t="shared" si="2"/>
        <v>0.3571428571</v>
      </c>
      <c r="L5" s="20">
        <f t="shared" si="3"/>
        <v>0.2121212121</v>
      </c>
      <c r="M5" s="38">
        <f t="shared" si="4"/>
        <v>0.4545454545</v>
      </c>
      <c r="N5" s="22">
        <f t="array" ref="N5">SUMPRODUCT(G5:J5/sum($B5:$C5),$G$10:$J$10)+FLOOR((K5-$K$10)/0.5,1)+FLOOR((L5-$L$10)/0.5,1)+FLOOR((M5/$M$10)/0.75,1)</f>
        <v>4.25</v>
      </c>
      <c r="O5" s="23">
        <f t="shared" si="5"/>
        <v>2</v>
      </c>
      <c r="P5" s="24">
        <f>sum(vlookup($A5,'G1'!$A$2:$J$9,2,false), vlookup($A5,'G2'!$A$2:$J$9,2,false), vlookup($A5,'G3'!$A$2:$J$10,2,false), vlookup($A5,'G4'!$A$2:$J$11,2,false), vlookup($A5,'G5'!$A$2:$J$11,2,false),vlookup($A5,'G6'!$A$2:$J$12,2,false), vlookup($A5,'G7'!$A$2:$J$10,2,false), vlookup($A5,'G8'!$A$2:$K$9,2,false))</f>
        <v>7</v>
      </c>
      <c r="Q5" s="18">
        <f>sum(vlookup($A5,'G1'!$A$2:$J$9,3,false), vlookup($A5,'G2'!$A$2:$J$9,3,false), vlookup($A5,'G3'!$A$2:$J$10,3,false), vlookup($A5,'G4'!$A$2:$J$9,3,false), vlookup($A5,'G5'!$A$2:$J$9,3,false),vlookup($A5,'G6'!$A$2:$J$9,3,false), vlookup($A5,'G7'!$A$2:$J$9,3,false), vlookup($A5,'G8'!$A$2:$K$9,3,false))</f>
        <v>4</v>
      </c>
      <c r="R5" s="18">
        <f>sum(vlookup($A5,'G1'!$A$2:$J$9,4,false), vlookup($A5,'G2'!$A$2:$J$9,4,false), vlookup($A5,'G3'!$A$2:$J$10,4,false), vlookup($A5,'G4'!$A$2:$J$9,4,false), vlookup($A5,'G5'!$A$2:$J$9,4,false),vlookup($A5,'G6'!$A$2:$J$9,4,false), vlookup($A5,'G7'!$A$2:$J$9,4,false),vlookup($A5,'G8'!$A$2:$K$9,4,false))</f>
        <v>2</v>
      </c>
      <c r="S5" s="18">
        <f>sum(vlookup($A5,'G1'!$A$2:$J$9,6,false), vlookup($A5,'G2'!$A$2:$J$9,6,false), vlookup($A5,'G3'!$A$2:$J$10,6,false), vlookup($A5,'G4'!$A$2:$J$9,6,false), vlookup($A5,'G5'!$A$2:$J$9,6,false),vlookup($A5,'G6'!$A$2:$J$9,6,false), vlookup($A5,'G7'!$A$2:$J$9,6,false), vlookup($A5,'G8'!$A$2:$K$9,6,false))</f>
        <v>9</v>
      </c>
      <c r="T5" s="19">
        <f>sum(vlookup($A5,'G1'!$A$2:$J$9,5,false), vlookup($A5,'G2'!$A$2:$J$9,5,false), vlookup($A5,'G3'!$A$2:$J$10,5,false), vlookup($A5,'G4'!$A$2:$J$9,5,false), vlookup($A5,'G5'!$A$2:$J$9,5,false),vlookup($A5,'G6'!$A$2:$J$9,5,false), vlookup($A5,'G7'!$A$2:$J$9,5,false), vlookup($A5,'G8'!$A$2:$K$9,5,false))</f>
        <v>2</v>
      </c>
      <c r="U5" s="25">
        <f t="shared" si="6"/>
        <v>2.571428571</v>
      </c>
      <c r="V5" s="25">
        <f t="shared" si="7"/>
        <v>1.571428571</v>
      </c>
      <c r="W5" s="35">
        <f t="shared" si="8"/>
        <v>2</v>
      </c>
      <c r="X5" s="22">
        <f t="array" ref="X5">SUMPRODUCT(Q5:T5/P5,$Q$10:$T$10)+FLOOR((U5-$U$10)/-1,1)+FLOOR((V5-$V$10)/-0.5,1)+floor((W5-$W$10)/0.5,1)</f>
        <v>-1.714285714</v>
      </c>
      <c r="Y5" s="39">
        <f t="shared" si="9"/>
        <v>4</v>
      </c>
    </row>
    <row r="6">
      <c r="A6" s="29" t="s">
        <v>25</v>
      </c>
      <c r="B6" s="31">
        <v>2.0</v>
      </c>
      <c r="C6" s="31">
        <v>3.0</v>
      </c>
      <c r="D6" s="15">
        <v>1.0</v>
      </c>
      <c r="E6" s="16">
        <f t="shared" si="1"/>
        <v>0.4166666667</v>
      </c>
      <c r="F6" s="17">
        <f>sum(vlookup($A6,'G1'!$A$12:$J$19,2,false),vlookup($A6,'G2'!$A$12:$K$19,2,false),vlookup($A6,'G3'!$A$13:$K$21,2,false),vlookup($A6,'G4'!$A$12:$J$19,2,false),vlookup($A6,'G5'!$A$12:$K$19,2,false),vlookup($A6,'G6'!$A$12:$J$19,2,false),vlookup($A6,'G7'!$A$12:$K$19,2,false),vlookup($A6,'G8'!$A$12:$K$19,2,false))</f>
        <v>41</v>
      </c>
      <c r="G6" s="17">
        <f>sum(vlookup($A6,'G1'!$A$12:$J$19,7,false), vlookup($A6,'G2'!$A$12:$K$19,7,false),vlookup($A6,'G3'!$A$12:$K$21,7,false),vlookup($A6,'G4'!$A$12:$J$19,7,false),vlookup($A6,'G5'!$A$12:$K$19,7,false),vlookup($A6,'G6'!$A$12:$K$19,7,false), vlookup($A6,'G7'!$A$12:$K$19,7,false), vlookup($A6,'G8'!$A$12:$K$19,7,false))</f>
        <v>4</v>
      </c>
      <c r="H6" s="18">
        <f>sum(vlookup($A6,'G1'!$A$12:$J$19,3,false), vlookup($A6,'G2'!$A$12:$K$19,3,false),vlookup($A6,'G3'!$A$12:$K$21,3,false),vlookup($A6,'G4'!$A$12:$J$19,3,false),vlookup($A6,'G5'!$A$12:$K$19,3,false),vlookup($A6,'G6'!$A$12:$K$19,3,false), vlookup($A6,'G7'!$A$12:$K$19,3,false), vlookup($A6,'G8'!$A$12:$K$19,3,false))</f>
        <v>16</v>
      </c>
      <c r="I6" s="18">
        <f>sum(vlookup($A6,'G1'!$A$12:$J$19,4,false),vlookup($A6,'G2'!$A$12:$K$19,4,false),vlookup($A6,'G3'!$A$12:$K$21,4,false),vlookup($A6,'G4'!$A$12:$J$19,4,false),vlookup($A6,'G5'!$A$12:$K$19,4,false),vlookup($A6,'G6'!$A$12:$K$19,4,false), vlookup($A6,'G7'!$A$12:$K$19,4,false), vlookup($A6,'G8'!$A$12:$K$19,4,false))</f>
        <v>9</v>
      </c>
      <c r="J6" s="19">
        <f>sum(vlookup($A6,'G1'!$A$12:$J$19,6,false),vlookup($A6,'G2'!$A$12:$K$19,6,false),vlookup($A6,'G3'!$A$12:$K$21,6,false),vlookup($A6,'G4'!$A$12:$J$19,6,false),vlookup($A6,'G5'!$A$12:$K$19,6,false),vlookup($A6,'G6'!$A$12:$K$19,6,false), vlookup($A6,'G7'!$A$12:$K$19,6,false), vlookup($A6,'G8'!$A$12:$K$19,6,false))</f>
        <v>0</v>
      </c>
      <c r="K6" s="32">
        <f t="shared" si="2"/>
        <v>0.125</v>
      </c>
      <c r="L6" s="20">
        <f t="shared" si="3"/>
        <v>0.3902439024</v>
      </c>
      <c r="M6" s="33">
        <f t="shared" si="4"/>
        <v>0.3170731707</v>
      </c>
      <c r="N6" s="22">
        <f t="array" ref="N6">SUMPRODUCT(G6:J6/sum($B6:$C6),$G$10:$J$10)+FLOOR((K6-$K$10)/0.5,1)+FLOOR((L6-$L$10)/0.5,1)+FLOOR((M6/$M$10)/0.75,1)</f>
        <v>-0.2</v>
      </c>
      <c r="O6" s="34">
        <f t="shared" si="5"/>
        <v>8</v>
      </c>
      <c r="P6" s="24">
        <f>sum(vlookup($A6,'G1'!$A$2:$J$9,2,false), vlookup($A6,'G2'!$A$2:$J$9,2,false), vlookup($A6,'G3'!$A$2:$J$10,2,false), vlookup($A6,'G4'!$A$2:$J$11,2,false), vlookup($A6,'G5'!$A$2:$J$11,2,false),vlookup($A6,'G6'!$A$2:$J$12,2,false), vlookup($A6,'G7'!$A$2:$J$10,2,false), vlookup($A6,'G8'!$A$2:$K$9,2,false))</f>
        <v>10</v>
      </c>
      <c r="Q6" s="18">
        <f>sum(vlookup($A6,'G1'!$A$2:$J$9,3,false), vlookup($A6,'G2'!$A$2:$J$9,3,false), vlookup($A6,'G3'!$A$2:$J$10,3,false), vlookup($A6,'G4'!$A$2:$J$9,3,false), vlookup($A6,'G5'!$A$2:$J$9,3,false),vlookup($A6,'G6'!$A$2:$J$9,3,false), vlookup($A6,'G7'!$A$2:$J$9,3,false), vlookup($A6,'G8'!$A$2:$K$9,3,false))</f>
        <v>11</v>
      </c>
      <c r="R6" s="18">
        <f>sum(vlookup($A6,'G1'!$A$2:$J$9,4,false), vlookup($A6,'G2'!$A$2:$J$9,4,false), vlookup($A6,'G3'!$A$2:$J$10,4,false), vlookup($A6,'G4'!$A$2:$J$9,4,false), vlookup($A6,'G5'!$A$2:$J$9,4,false),vlookup($A6,'G6'!$A$2:$J$9,4,false), vlookup($A6,'G7'!$A$2:$J$9,4,false),vlookup($A6,'G8'!$A$2:$K$9,4,false))</f>
        <v>5</v>
      </c>
      <c r="S6" s="18">
        <f>sum(vlookup($A6,'G1'!$A$2:$J$9,6,false), vlookup($A6,'G2'!$A$2:$J$9,6,false), vlookup($A6,'G3'!$A$2:$J$10,6,false), vlookup($A6,'G4'!$A$2:$J$9,6,false), vlookup($A6,'G5'!$A$2:$J$9,6,false),vlookup($A6,'G6'!$A$2:$J$9,6,false), vlookup($A6,'G7'!$A$2:$J$9,6,false), vlookup($A6,'G8'!$A$2:$K$9,6,false))</f>
        <v>5</v>
      </c>
      <c r="T6" s="19">
        <f>sum(vlookup($A6,'G1'!$A$2:$J$9,5,false), vlookup($A6,'G2'!$A$2:$J$9,5,false), vlookup($A6,'G3'!$A$2:$J$10,5,false), vlookup($A6,'G4'!$A$2:$J$9,5,false), vlookup($A6,'G5'!$A$2:$J$9,5,false),vlookup($A6,'G6'!$A$2:$J$9,5,false), vlookup($A6,'G7'!$A$2:$J$9,5,false), vlookup($A6,'G8'!$A$2:$K$9,5,false))</f>
        <v>2</v>
      </c>
      <c r="U6" s="26">
        <f t="shared" si="6"/>
        <v>1.8</v>
      </c>
      <c r="V6" s="26">
        <f t="shared" si="7"/>
        <v>1</v>
      </c>
      <c r="W6" s="35">
        <f t="shared" si="8"/>
        <v>2.2</v>
      </c>
      <c r="X6" s="22">
        <f t="array" ref="X6">SUMPRODUCT(Q6:T6/P6,$Q$10:$T$10)+FLOOR((U6-$U$10)/-1,1)+FLOOR((V6-$V$10)/-0.5,1)+floor((W6-$W$10)/0.5,1)</f>
        <v>3.15</v>
      </c>
      <c r="Y6" s="40">
        <f t="shared" si="9"/>
        <v>1</v>
      </c>
    </row>
    <row r="7">
      <c r="A7" s="29" t="s">
        <v>26</v>
      </c>
      <c r="B7" s="31">
        <v>2.0</v>
      </c>
      <c r="C7" s="31">
        <v>1.0</v>
      </c>
      <c r="D7" s="15">
        <v>1.0</v>
      </c>
      <c r="E7" s="16">
        <f t="shared" si="1"/>
        <v>0.625</v>
      </c>
      <c r="F7" s="17">
        <f>sum(vlookup($A7,'G1'!$A$12:$J$19,2,false),vlookup($A7,'G2'!$A$12:$K$19,2,false),vlookup($A7,'G3'!$A$13:$K$21,2,false),vlookup($A7,'G4'!$A$12:$J$19,2,false),vlookup($A7,'G5'!$A$12:$K$19,2,false),vlookup($A7,'G6'!$A$12:$J$19,2,false),vlookup($A7,'G7'!$A$12:$K$19,2,false),vlookup($A7,'G8'!$A$12:$K$19,2,false))</f>
        <v>22</v>
      </c>
      <c r="G7" s="17">
        <f>sum(vlookup($A7,'G1'!$A$12:$J$19,7,false), vlookup($A7,'G2'!$A$12:$K$19,7,false),vlookup($A7,'G3'!$A$12:$K$21,7,false),vlookup($A7,'G4'!$A$12:$J$19,7,false),vlookup($A7,'G5'!$A$12:$K$19,7,false),vlookup($A7,'G6'!$A$12:$K$19,7,false), vlookup($A7,'G7'!$A$12:$K$19,7,false), vlookup($A7,'G8'!$A$12:$K$19,7,false))</f>
        <v>6</v>
      </c>
      <c r="H7" s="18">
        <f>sum(vlookup($A7,'G1'!$A$12:$J$19,3,false), vlookup($A7,'G2'!$A$12:$K$19,3,false),vlookup($A7,'G3'!$A$12:$K$21,3,false),vlookup($A7,'G4'!$A$12:$J$19,3,false),vlookup($A7,'G5'!$A$12:$K$19,3,false),vlookup($A7,'G6'!$A$12:$K$19,3,false), vlookup($A7,'G7'!$A$12:$K$19,3,false), vlookup($A7,'G8'!$A$12:$K$19,3,false))</f>
        <v>7</v>
      </c>
      <c r="I7" s="18">
        <f>sum(vlookup($A7,'G1'!$A$12:$J$19,4,false),vlookup($A7,'G2'!$A$12:$K$19,4,false),vlookup($A7,'G3'!$A$12:$K$21,4,false),vlookup($A7,'G4'!$A$12:$J$19,4,false),vlookup($A7,'G5'!$A$12:$K$19,4,false),vlookup($A7,'G6'!$A$12:$K$19,4,false), vlookup($A7,'G7'!$A$12:$K$19,4,false), vlookup($A7,'G8'!$A$12:$K$19,4,false))</f>
        <v>2</v>
      </c>
      <c r="J7" s="19">
        <f>sum(vlookup($A7,'G1'!$A$12:$J$19,6,false),vlookup($A7,'G2'!$A$12:$K$19,6,false),vlookup($A7,'G3'!$A$12:$K$21,6,false),vlookup($A7,'G4'!$A$12:$J$19,6,false),vlookup($A7,'G5'!$A$12:$K$19,6,false),vlookup($A7,'G6'!$A$12:$K$19,6,false), vlookup($A7,'G7'!$A$12:$K$19,6,false), vlookup($A7,'G8'!$A$12:$K$19,6,false))</f>
        <v>1</v>
      </c>
      <c r="K7" s="37">
        <f t="shared" si="2"/>
        <v>0.3</v>
      </c>
      <c r="L7" s="20">
        <f t="shared" si="3"/>
        <v>0.3181818182</v>
      </c>
      <c r="M7" s="33">
        <f t="shared" si="4"/>
        <v>0.3636363636</v>
      </c>
      <c r="N7" s="22">
        <f t="array" ref="N7">SUMPRODUCT(G7:J7/sum($B7:$C7),$G$10:$J$10)+FLOOR((K7-$K$10)/0.5,1)+FLOOR((L7-$L$10)/0.5,1)+FLOOR((M7/$M$10)/0.75,1)</f>
        <v>3</v>
      </c>
      <c r="O7" s="34">
        <f t="shared" si="5"/>
        <v>6</v>
      </c>
      <c r="P7" s="24">
        <f>sum(vlookup($A7,'G1'!$A$2:$J$9,2,false), vlookup($A7,'G2'!$A$2:$J$9,2,false), vlookup($A7,'G3'!$A$2:$J$10,2,false), vlookup($A7,'G4'!$A$2:$J$11,2,false), vlookup($A7,'G5'!$A$2:$J$11,2,false),vlookup($A7,'G6'!$A$2:$J$12,2,false), vlookup($A7,'G7'!$A$2:$J$10,2,false), vlookup($A7,'G8'!$A$2:$K$9,2,false))</f>
        <v>4</v>
      </c>
      <c r="Q7" s="18">
        <f>sum(vlookup($A7,'G1'!$A$2:$J$9,3,false), vlookup($A7,'G2'!$A$2:$J$9,3,false), vlookup($A7,'G3'!$A$2:$J$10,3,false), vlookup($A7,'G4'!$A$2:$J$9,3,false), vlookup($A7,'G5'!$A$2:$J$9,3,false),vlookup($A7,'G6'!$A$2:$J$9,3,false), vlookup($A7,'G7'!$A$2:$J$9,3,false), vlookup($A7,'G8'!$A$2:$K$9,3,false))</f>
        <v>7</v>
      </c>
      <c r="R7" s="18">
        <f>sum(vlookup($A7,'G1'!$A$2:$J$9,4,false), vlookup($A7,'G2'!$A$2:$J$9,4,false), vlookup($A7,'G3'!$A$2:$J$10,4,false), vlookup($A7,'G4'!$A$2:$J$9,4,false), vlookup($A7,'G5'!$A$2:$J$9,4,false),vlookup($A7,'G6'!$A$2:$J$9,4,false), vlookup($A7,'G7'!$A$2:$J$9,4,false),vlookup($A7,'G8'!$A$2:$K$9,4,false))</f>
        <v>3</v>
      </c>
      <c r="S7" s="18">
        <f>sum(vlookup($A7,'G1'!$A$2:$J$9,6,false), vlookup($A7,'G2'!$A$2:$J$9,6,false), vlookup($A7,'G3'!$A$2:$J$10,6,false), vlookup($A7,'G4'!$A$2:$J$9,6,false), vlookup($A7,'G5'!$A$2:$J$9,6,false),vlookup($A7,'G6'!$A$2:$J$9,6,false), vlookup($A7,'G7'!$A$2:$J$9,6,false), vlookup($A7,'G8'!$A$2:$K$9,6,false))</f>
        <v>6</v>
      </c>
      <c r="T7" s="19">
        <f>sum(vlookup($A7,'G1'!$A$2:$J$9,5,false), vlookup($A7,'G2'!$A$2:$J$9,5,false), vlookup($A7,'G3'!$A$2:$J$10,5,false), vlookup($A7,'G4'!$A$2:$J$9,5,false), vlookup($A7,'G5'!$A$2:$J$9,5,false),vlookup($A7,'G6'!$A$2:$J$9,5,false), vlookup($A7,'G7'!$A$2:$J$9,5,false), vlookup($A7,'G8'!$A$2:$K$9,5,false))</f>
        <v>2</v>
      </c>
      <c r="U7" s="26">
        <f t="shared" si="6"/>
        <v>4.5</v>
      </c>
      <c r="V7" s="26">
        <f t="shared" si="7"/>
        <v>2.25</v>
      </c>
      <c r="W7" s="35">
        <f t="shared" si="8"/>
        <v>2.333333333</v>
      </c>
      <c r="X7" s="22">
        <f t="array" ref="X7">SUMPRODUCT(Q7:T7/P7,$Q$10:$T$10)+FLOOR((U7-$U$10)/-1,1)+FLOOR((V7-$V$10)/-0.5,1)+floor((W7-$W$10)/0.5,1)</f>
        <v>-2.125</v>
      </c>
      <c r="Y7" s="39">
        <f t="shared" si="9"/>
        <v>5</v>
      </c>
    </row>
    <row r="8">
      <c r="A8" s="41" t="s">
        <v>27</v>
      </c>
      <c r="B8" s="42">
        <v>3.0</v>
      </c>
      <c r="C8" s="42">
        <v>0.0</v>
      </c>
      <c r="D8" s="43">
        <v>2.0</v>
      </c>
      <c r="E8" s="16">
        <f t="shared" si="1"/>
        <v>0.8</v>
      </c>
      <c r="F8" s="17">
        <f>sum(vlookup($A8,'G1'!$A$12:$J$19,2,false),vlookup($A8,'G2'!$A$12:$K$19,2,false),vlookup($A8,'G3'!$A$13:$K$21,2,false),vlookup($A8,'G4'!$A$12:$J$19,2,false),vlookup($A8,'G5'!$A$12:$K$19,2,false),vlookup($A8,'G6'!$A$12:$J$19,2,false),vlookup($A8,'G7'!$A$12:$K$19,2,false),vlookup($A8,'G8'!$A$12:$K$19,2,false))</f>
        <v>31</v>
      </c>
      <c r="G8" s="17">
        <f>sum(vlookup($A8,'G1'!$A$12:$J$19,7,false), vlookup($A8,'G2'!$A$12:$K$19,7,false),vlookup($A8,'G3'!$A$12:$K$21,7,false),vlookup($A8,'G4'!$A$12:$J$19,7,false),vlookup($A8,'G5'!$A$12:$K$19,7,false),vlookup($A8,'G6'!$A$12:$K$19,7,false), vlookup($A8,'G7'!$A$12:$K$19,7,false), vlookup($A8,'G8'!$A$12:$K$19,7,false))</f>
        <v>5</v>
      </c>
      <c r="H8" s="18">
        <f>sum(vlookup($A8,'G1'!$A$12:$J$19,3,false), vlookup($A8,'G2'!$A$12:$K$19,3,false),vlookup($A8,'G3'!$A$12:$K$21,3,false),vlookup($A8,'G4'!$A$12:$J$19,3,false),vlookup($A8,'G5'!$A$12:$K$19,3,false),vlookup($A8,'G6'!$A$12:$K$19,3,false), vlookup($A8,'G7'!$A$12:$K$19,3,false), vlookup($A8,'G8'!$A$12:$K$19,3,false))</f>
        <v>5</v>
      </c>
      <c r="I8" s="18">
        <f>sum(vlookup($A8,'G1'!$A$12:$J$19,4,false),vlookup($A8,'G2'!$A$12:$K$19,4,false),vlookup($A8,'G3'!$A$12:$K$21,4,false),vlookup($A8,'G4'!$A$12:$J$19,4,false),vlookup($A8,'G5'!$A$12:$K$19,4,false),vlookup($A8,'G6'!$A$12:$K$19,4,false), vlookup($A8,'G7'!$A$12:$K$19,4,false), vlookup($A8,'G8'!$A$12:$K$19,4,false))</f>
        <v>12</v>
      </c>
      <c r="J8" s="19">
        <f>sum(vlookup($A8,'G1'!$A$12:$J$19,6,false),vlookup($A8,'G2'!$A$12:$K$19,6,false),vlookup($A8,'G3'!$A$12:$K$21,6,false),vlookup($A8,'G4'!$A$12:$J$19,6,false),vlookup($A8,'G5'!$A$12:$K$19,6,false),vlookup($A8,'G6'!$A$12:$K$19,6,false), vlookup($A8,'G7'!$A$12:$K$19,6,false), vlookup($A8,'G8'!$A$12:$K$19,6,false))</f>
        <v>5</v>
      </c>
      <c r="K8" s="44">
        <f t="shared" si="2"/>
        <v>0.2631578947</v>
      </c>
      <c r="L8" s="20">
        <f t="shared" si="3"/>
        <v>0.1612903226</v>
      </c>
      <c r="M8" s="45">
        <f t="shared" si="4"/>
        <v>0.5483870968</v>
      </c>
      <c r="N8" s="22">
        <f t="array" ref="N8">SUMPRODUCT(G8:J8/sum($B8:$C8),$G$10:$J$10)+FLOOR((K8-$K$10)/0.5,1)+FLOOR((L8-$L$10)/0.5,1)+FLOOR((M8/$M$10)/0.75,1)</f>
        <v>8.166666667</v>
      </c>
      <c r="O8" s="46">
        <f t="shared" si="5"/>
        <v>1</v>
      </c>
      <c r="P8" s="24">
        <f>sum(vlookup($A8,'G1'!$A$2:$J$9,2,false), vlookup($A8,'G2'!$A$2:$J$9,2,false), vlookup($A8,'G3'!$A$2:$J$10,2,false), vlookup($A8,'G4'!$A$2:$J$11,2,false), vlookup($A8,'G5'!$A$2:$J$11,2,false),vlookup($A8,'G6'!$A$2:$J$12,2,false), vlookup($A8,'G7'!$A$2:$J$10,2,false), vlookup($A8,'G8'!$A$2:$K$9,2,false))</f>
        <v>8</v>
      </c>
      <c r="Q8" s="18">
        <f>sum(vlookup($A8,'G1'!$A$2:$J$9,3,false), vlookup($A8,'G2'!$A$2:$J$9,3,false), vlookup($A8,'G3'!$A$2:$J$10,3,false), vlookup($A8,'G4'!$A$2:$J$9,3,false), vlookup($A8,'G5'!$A$2:$J$9,3,false),vlookup($A8,'G6'!$A$2:$J$9,3,false), vlookup($A8,'G7'!$A$2:$J$9,3,false), vlookup($A8,'G8'!$A$2:$K$9,3,false))</f>
        <v>7</v>
      </c>
      <c r="R8" s="18">
        <f>sum(vlookup($A8,'G1'!$A$2:$J$9,4,false), vlookup($A8,'G2'!$A$2:$J$9,4,false), vlookup($A8,'G3'!$A$2:$J$10,4,false), vlookup($A8,'G4'!$A$2:$J$9,4,false), vlookup($A8,'G5'!$A$2:$J$9,4,false),vlookup($A8,'G6'!$A$2:$J$9,4,false), vlookup($A8,'G7'!$A$2:$J$9,4,false),vlookup($A8,'G8'!$A$2:$K$9,4,false))</f>
        <v>7</v>
      </c>
      <c r="S8" s="18">
        <f>sum(vlookup($A8,'G1'!$A$2:$J$9,6,false), vlookup($A8,'G2'!$A$2:$J$9,6,false), vlookup($A8,'G3'!$A$2:$J$10,6,false), vlookup($A8,'G4'!$A$2:$J$9,6,false), vlookup($A8,'G5'!$A$2:$J$9,6,false),vlookup($A8,'G6'!$A$2:$J$9,6,false), vlookup($A8,'G7'!$A$2:$J$9,6,false), vlookup($A8,'G8'!$A$2:$K$9,6,false))</f>
        <v>6</v>
      </c>
      <c r="T8" s="19">
        <f>sum(vlookup($A8,'G1'!$A$2:$J$9,5,false), vlookup($A8,'G2'!$A$2:$J$9,5,false), vlookup($A8,'G3'!$A$2:$J$10,5,false), vlookup($A8,'G4'!$A$2:$J$9,5,false), vlookup($A8,'G5'!$A$2:$J$9,5,false),vlookup($A8,'G6'!$A$2:$J$9,5,false), vlookup($A8,'G7'!$A$2:$J$9,5,false), vlookup($A8,'G8'!$A$2:$K$9,5,false))</f>
        <v>2</v>
      </c>
      <c r="U8" s="25">
        <f t="shared" si="6"/>
        <v>2.25</v>
      </c>
      <c r="V8" s="25">
        <f t="shared" si="7"/>
        <v>1.625</v>
      </c>
      <c r="W8" s="35">
        <f t="shared" si="8"/>
        <v>1</v>
      </c>
      <c r="X8" s="22">
        <f t="array" ref="X8">SUMPRODUCT(Q8:T8/P8,$Q$10:$T$10)+FLOOR((U8-$U$10)/-1,1)+FLOOR((V8-$V$10)/-0.5,1)+floor((W8-$W$10)/0.5,1)</f>
        <v>-2.8125</v>
      </c>
      <c r="Y8" s="39">
        <f t="shared" si="9"/>
        <v>6</v>
      </c>
    </row>
    <row r="9">
      <c r="A9" s="47" t="s">
        <v>28</v>
      </c>
      <c r="B9" s="48">
        <v>0.0</v>
      </c>
      <c r="C9" s="48">
        <v>1.0</v>
      </c>
      <c r="D9" s="43">
        <v>2.0</v>
      </c>
      <c r="E9" s="49">
        <f t="shared" si="1"/>
        <v>0.3333333333</v>
      </c>
      <c r="F9" s="50">
        <f>sum(vlookup($A9,'G1'!$A$12:$J$19,2,false),vlookup($A9,'G2'!$A$12:$K$19,2,false),vlookup($A9,'G3'!$A$13:$K$21,2,false),vlookup($A9,'G4'!$A$12:$J$19,2,false),vlookup($A9,'G5'!$A$12:$K$19,2,false),vlookup($A9,'G6'!$A$12:$J$19,2,false),vlookup($A9,'G7'!$A$12:$K$19,2,false),vlookup($A9,'G8'!$A$12:$K$19,2,false))</f>
        <v>13</v>
      </c>
      <c r="G9" s="50">
        <f>sum(vlookup($A9,'G1'!$A$12:$J$19,7,false), vlookup($A9,'G2'!$A$12:$K$19,7,false),vlookup($A9,'G3'!$A$12:$K$21,7,false),vlookup($A9,'G4'!$A$12:$J$19,7,false),vlookup($A9,'G5'!$A$12:$K$19,7,false),vlookup($A9,'G6'!$A$12:$K$19,7,false), vlookup($A9,'G7'!$A$12:$K$19,7,false), vlookup($A9,'G8'!$A$12:$K$19,7,false))</f>
        <v>2</v>
      </c>
      <c r="H9" s="51">
        <f>sum(vlookup($A9,'G1'!$A$12:$J$19,3,false), vlookup($A9,'G2'!$A$12:$K$19,3,false),vlookup($A9,'G3'!$A$12:$K$21,3,false),vlookup($A9,'G4'!$A$12:$J$19,3,false),vlookup($A9,'G5'!$A$12:$K$19,3,false),vlookup($A9,'G6'!$A$12:$K$19,3,false), vlookup($A9,'G7'!$A$12:$K$19,3,false), vlookup($A9,'G8'!$A$12:$K$19,3,false))</f>
        <v>3</v>
      </c>
      <c r="I9" s="51">
        <f>sum(vlookup($A9,'G1'!$A$12:$J$19,4,false),vlookup($A9,'G2'!$A$12:$K$19,4,false),vlookup($A9,'G3'!$A$12:$K$21,4,false),vlookup($A9,'G4'!$A$12:$J$19,4,false),vlookup($A9,'G5'!$A$12:$K$19,4,false),vlookup($A9,'G6'!$A$12:$K$19,4,false), vlookup($A9,'G7'!$A$12:$K$19,4,false), vlookup($A9,'G8'!$A$12:$K$19,4,false))</f>
        <v>2</v>
      </c>
      <c r="J9" s="52">
        <f>sum(vlookup($A9,'G1'!$A$12:$J$19,6,false),vlookup($A9,'G2'!$A$12:$K$19,6,false),vlookup($A9,'G3'!$A$12:$K$21,6,false),vlookup($A9,'G4'!$A$12:$J$19,6,false),vlookup($A9,'G5'!$A$12:$K$19,6,false),vlookup($A9,'G6'!$A$12:$K$19,6,false), vlookup($A9,'G7'!$A$12:$K$19,6,false), vlookup($A9,'G8'!$A$12:$K$19,6,false))</f>
        <v>1</v>
      </c>
      <c r="K9" s="44">
        <f t="shared" si="2"/>
        <v>0.1818181818</v>
      </c>
      <c r="L9" s="53">
        <f t="shared" si="3"/>
        <v>0.2307692308</v>
      </c>
      <c r="M9" s="45">
        <f t="shared" si="4"/>
        <v>0.3076923077</v>
      </c>
      <c r="N9" s="22">
        <f t="array" ref="N9">SUMPRODUCT(G9:J9/sum($B9:$C9),$G$10:$J$10)+FLOOR((K9-$K$10)/0.5,1)+FLOOR((L9-$L$10)/0.5,1)+FLOOR((M9/$M$10)/0.75,1)</f>
        <v>3</v>
      </c>
      <c r="O9" s="34">
        <f t="shared" si="5"/>
        <v>5</v>
      </c>
      <c r="P9" s="54">
        <f>sum(vlookup($A9,'G1'!$A$2:$J$9,2,false), vlookup($A9,'G2'!$A$2:$J$9,2,false), vlookup($A9,'G3'!$A$2:$J$10,2,false), vlookup($A9,'G4'!$A$2:$J$11,2,false), vlookup($A9,'G5'!$A$2:$J$11,2,false),vlookup($A9,'G6'!$A$2:$J$12,2,false), vlookup($A9,'G7'!$A$2:$J$10,2,false), vlookup($A9,'G8'!$A$2:$K$9,2,false))</f>
        <v>4</v>
      </c>
      <c r="Q9" s="51">
        <f>sum(vlookup($A9,'G1'!$A$2:$J$9,3,false), vlookup($A9,'G2'!$A$2:$J$9,3,false), vlookup($A9,'G3'!$A$2:$J$10,3,false), vlookup($A9,'G4'!$A$2:$J$9,3,false), vlookup($A9,'G5'!$A$2:$J$9,3,false),vlookup($A9,'G6'!$A$2:$J$9,3,false), vlookup($A9,'G7'!$A$2:$J$9,3,false), vlookup($A9,'G8'!$A$2:$K$9,3,false))</f>
        <v>3</v>
      </c>
      <c r="R9" s="51">
        <f>sum(vlookup($A9,'G1'!$A$2:$J$9,4,false), vlookup($A9,'G2'!$A$2:$J$9,4,false), vlookup($A9,'G3'!$A$2:$J$10,4,false), vlookup($A9,'G4'!$A$2:$J$9,4,false), vlookup($A9,'G5'!$A$2:$J$9,4,false),vlookup($A9,'G6'!$A$2:$J$9,4,false), vlookup($A9,'G7'!$A$2:$J$9,4,false),vlookup($A9,'G8'!$A$2:$K$9,4,false))</f>
        <v>4</v>
      </c>
      <c r="S9" s="51">
        <f>sum(vlookup($A9,'G1'!$A$2:$J$9,6,false), vlookup($A9,'G2'!$A$2:$J$9,6,false), vlookup($A9,'G3'!$A$2:$J$10,6,false), vlookup($A9,'G4'!$A$2:$J$9,6,false), vlookup($A9,'G5'!$A$2:$J$9,6,false),vlookup($A9,'G6'!$A$2:$J$9,6,false), vlookup($A9,'G7'!$A$2:$J$9,6,false), vlookup($A9,'G8'!$A$2:$K$9,6,false))</f>
        <v>4</v>
      </c>
      <c r="T9" s="52">
        <f>sum(vlookup($A9,'G1'!$A$2:$J$9,5,false), vlookup($A9,'G2'!$A$2:$J$9,5,false), vlookup($A9,'G3'!$A$2:$J$10,5,false), vlookup($A9,'G4'!$A$2:$J$9,5,false), vlookup($A9,'G5'!$A$2:$J$9,5,false),vlookup($A9,'G6'!$A$2:$J$9,5,false), vlookup($A9,'G7'!$A$2:$J$9,5,false), vlookup($A9,'G8'!$A$2:$K$9,5,false))</f>
        <v>3</v>
      </c>
      <c r="U9" s="22">
        <f t="shared" si="6"/>
        <v>6.75</v>
      </c>
      <c r="V9" s="55">
        <f t="shared" si="7"/>
        <v>2</v>
      </c>
      <c r="W9" s="56">
        <f t="shared" si="8"/>
        <v>0.75</v>
      </c>
      <c r="X9" s="22">
        <f t="array" ref="X9">SUMPRODUCT(Q9:T9/P9,$Q$10:$T$10)+FLOOR((U9-$U$10)/-1,1)+FLOOR((V9-$V$10)/-0.5,1)+floor((W9-$W$10)/0.5,1)</f>
        <v>-8.125</v>
      </c>
      <c r="Y9" s="39">
        <f t="shared" si="9"/>
        <v>8</v>
      </c>
    </row>
    <row r="10">
      <c r="A10" s="57"/>
      <c r="B10" s="57"/>
      <c r="C10" s="57"/>
      <c r="D10" s="57"/>
      <c r="E10" s="58"/>
      <c r="F10" s="59"/>
      <c r="G10" s="60">
        <v>1.5</v>
      </c>
      <c r="H10" s="60">
        <v>-1.0</v>
      </c>
      <c r="I10" s="60">
        <v>1.0</v>
      </c>
      <c r="J10" s="60">
        <v>2.0</v>
      </c>
      <c r="K10" s="61">
        <f t="shared" ref="K10:M10" si="10">AVERAGE(K2:K9)</f>
        <v>0.249053132</v>
      </c>
      <c r="L10" s="61">
        <f t="shared" si="10"/>
        <v>0.2499753777</v>
      </c>
      <c r="M10" s="61">
        <f t="shared" si="10"/>
        <v>0.3836731392</v>
      </c>
      <c r="N10" s="22"/>
      <c r="O10" s="22"/>
      <c r="P10" s="59"/>
      <c r="Q10" s="60">
        <v>2.0</v>
      </c>
      <c r="R10" s="60">
        <v>-0.5</v>
      </c>
      <c r="S10" s="60">
        <v>-1.0</v>
      </c>
      <c r="T10" s="60">
        <v>-1.5</v>
      </c>
      <c r="U10" s="62">
        <f t="shared" ref="U10:W10" si="11">AVERAGE(U2:U9)</f>
        <v>2.753886555</v>
      </c>
      <c r="V10" s="62">
        <f t="shared" si="11"/>
        <v>1.552652311</v>
      </c>
      <c r="W10" s="62">
        <f t="shared" si="11"/>
        <v>1.636607143</v>
      </c>
      <c r="X10" s="22"/>
      <c r="Y10" s="63"/>
    </row>
    <row r="11" ht="16.5" hidden="1" customHeight="1">
      <c r="A11" s="47"/>
      <c r="B11" s="47"/>
      <c r="C11" s="47"/>
      <c r="D11" s="47"/>
      <c r="E11" s="49"/>
      <c r="F11" s="50"/>
      <c r="G11" s="50"/>
      <c r="K11" s="64"/>
      <c r="L11" s="53"/>
      <c r="M11" s="53"/>
      <c r="N11" s="55"/>
      <c r="O11" s="65"/>
      <c r="P11" s="50"/>
      <c r="U11" s="22"/>
      <c r="V11" s="55"/>
      <c r="W11" s="55"/>
      <c r="X11" s="55"/>
      <c r="Y11" s="66"/>
    </row>
    <row r="12" ht="16.5" hidden="1" customHeight="1">
      <c r="A12" s="67" t="s">
        <v>29</v>
      </c>
      <c r="B12" s="67"/>
      <c r="C12" s="67"/>
      <c r="D12" s="67"/>
      <c r="E12" s="68"/>
      <c r="F12" s="69"/>
      <c r="G12" s="69"/>
      <c r="H12" s="69"/>
      <c r="I12" s="69"/>
      <c r="J12" s="69"/>
      <c r="K12" s="70"/>
      <c r="L12" s="70"/>
      <c r="M12" s="70"/>
      <c r="N12" s="71"/>
      <c r="O12" s="72"/>
      <c r="P12" s="69"/>
      <c r="Q12" s="69"/>
      <c r="R12" s="69"/>
      <c r="S12" s="69"/>
      <c r="T12" s="69"/>
      <c r="U12" s="71"/>
      <c r="V12" s="71"/>
      <c r="W12" s="71"/>
      <c r="X12" s="71"/>
      <c r="Y12" s="73"/>
    </row>
    <row r="13" hidden="1">
      <c r="A13" s="1"/>
      <c r="B13" s="2" t="s">
        <v>0</v>
      </c>
      <c r="C13" s="2" t="s">
        <v>1</v>
      </c>
      <c r="D13" s="3" t="s">
        <v>2</v>
      </c>
      <c r="E13" s="4" t="s">
        <v>3</v>
      </c>
      <c r="F13" s="5" t="s">
        <v>4</v>
      </c>
      <c r="G13" s="5" t="s">
        <v>5</v>
      </c>
      <c r="H13" s="5" t="s">
        <v>6</v>
      </c>
      <c r="I13" s="5" t="s">
        <v>7</v>
      </c>
      <c r="J13" s="6" t="s">
        <v>8</v>
      </c>
      <c r="K13" s="5" t="s">
        <v>9</v>
      </c>
      <c r="L13" s="5" t="s">
        <v>10</v>
      </c>
      <c r="M13" s="7" t="s">
        <v>11</v>
      </c>
      <c r="N13" s="74"/>
      <c r="O13" s="75"/>
      <c r="P13" s="5" t="s">
        <v>14</v>
      </c>
      <c r="Q13" s="5" t="s">
        <v>6</v>
      </c>
      <c r="R13" s="5" t="s">
        <v>7</v>
      </c>
      <c r="S13" s="5" t="s">
        <v>15</v>
      </c>
      <c r="T13" s="6" t="s">
        <v>16</v>
      </c>
      <c r="U13" s="10" t="s">
        <v>17</v>
      </c>
      <c r="V13" s="10" t="s">
        <v>18</v>
      </c>
      <c r="W13" s="10" t="s">
        <v>19</v>
      </c>
      <c r="X13" s="74"/>
      <c r="Y13" s="66"/>
    </row>
    <row r="14" hidden="1">
      <c r="A14" s="12" t="s">
        <v>21</v>
      </c>
      <c r="B14" s="13">
        <v>3.0</v>
      </c>
      <c r="C14" s="14">
        <v>3.0</v>
      </c>
      <c r="D14" s="15">
        <v>2.0</v>
      </c>
      <c r="E14" s="49">
        <v>0.5</v>
      </c>
      <c r="F14" s="47">
        <v>61.0</v>
      </c>
      <c r="G14" s="47">
        <v>13.0</v>
      </c>
      <c r="H14" s="76">
        <v>14.0</v>
      </c>
      <c r="I14" s="76">
        <v>12.0</v>
      </c>
      <c r="J14" s="76">
        <v>4.0</v>
      </c>
      <c r="K14" s="20">
        <f t="shared" ref="K14:K21" si="12">G14/(F14-I14)</f>
        <v>0.2653061224</v>
      </c>
      <c r="L14" s="20">
        <f t="shared" ref="L14:L21" si="13">H14/F14</f>
        <v>0.2295081967</v>
      </c>
      <c r="M14" s="21">
        <f t="shared" ref="M14:M21" si="14">(G14+I14)/F14</f>
        <v>0.4098360656</v>
      </c>
      <c r="N14" s="55"/>
      <c r="O14" s="65"/>
      <c r="P14" s="47">
        <v>17.0</v>
      </c>
      <c r="Q14" s="76">
        <v>15.0</v>
      </c>
      <c r="R14" s="76">
        <v>7.0</v>
      </c>
      <c r="S14" s="76">
        <v>12.0</v>
      </c>
      <c r="T14" s="76">
        <v>3.0</v>
      </c>
      <c r="U14" s="25">
        <f t="shared" ref="U14:U21" si="15">(9*T14)/P14</f>
        <v>1.588235294</v>
      </c>
      <c r="V14" s="26">
        <f t="shared" ref="V14:V21" si="16">(R14+S14)/P14</f>
        <v>1.117647059</v>
      </c>
      <c r="W14" s="25">
        <f t="shared" ref="W14:W21" si="17">Q14/R14</f>
        <v>2.142857143</v>
      </c>
      <c r="X14" s="55"/>
      <c r="Y14" s="77"/>
    </row>
    <row r="15" hidden="1">
      <c r="A15" s="29" t="s">
        <v>22</v>
      </c>
      <c r="B15" s="30">
        <v>4.0</v>
      </c>
      <c r="C15" s="31">
        <v>2.0</v>
      </c>
      <c r="D15" s="15">
        <v>2.0</v>
      </c>
      <c r="E15" s="49">
        <v>0.625</v>
      </c>
      <c r="F15" s="47">
        <v>57.0</v>
      </c>
      <c r="G15" s="47">
        <v>17.0</v>
      </c>
      <c r="H15" s="76">
        <v>11.0</v>
      </c>
      <c r="I15" s="76">
        <v>6.0</v>
      </c>
      <c r="J15" s="76">
        <v>1.0</v>
      </c>
      <c r="K15" s="32">
        <f t="shared" si="12"/>
        <v>0.3333333333</v>
      </c>
      <c r="L15" s="20">
        <f t="shared" si="13"/>
        <v>0.1929824561</v>
      </c>
      <c r="M15" s="33">
        <f t="shared" si="14"/>
        <v>0.4035087719</v>
      </c>
      <c r="N15" s="55"/>
      <c r="O15" s="65"/>
      <c r="P15" s="47">
        <v>14.0</v>
      </c>
      <c r="Q15" s="76">
        <v>22.0</v>
      </c>
      <c r="R15" s="76">
        <v>11.0</v>
      </c>
      <c r="S15" s="76">
        <v>7.0</v>
      </c>
      <c r="T15" s="76">
        <v>2.0</v>
      </c>
      <c r="U15" s="26">
        <f t="shared" si="15"/>
        <v>1.285714286</v>
      </c>
      <c r="V15" s="26">
        <f t="shared" si="16"/>
        <v>1.285714286</v>
      </c>
      <c r="W15" s="78">
        <f t="shared" si="17"/>
        <v>2</v>
      </c>
      <c r="X15" s="55"/>
      <c r="Y15" s="66"/>
    </row>
    <row r="16" hidden="1">
      <c r="A16" s="29" t="s">
        <v>23</v>
      </c>
      <c r="B16" s="31">
        <v>1.0</v>
      </c>
      <c r="C16" s="31">
        <v>2.0</v>
      </c>
      <c r="D16" s="15">
        <v>2.0</v>
      </c>
      <c r="E16" s="49">
        <v>0.4</v>
      </c>
      <c r="F16" s="47">
        <v>34.0</v>
      </c>
      <c r="G16" s="47">
        <v>5.0</v>
      </c>
      <c r="H16" s="76">
        <v>9.0</v>
      </c>
      <c r="I16" s="76">
        <v>4.0</v>
      </c>
      <c r="J16" s="76">
        <v>3.0</v>
      </c>
      <c r="K16" s="37">
        <f t="shared" si="12"/>
        <v>0.1666666667</v>
      </c>
      <c r="L16" s="20">
        <f t="shared" si="13"/>
        <v>0.2647058824</v>
      </c>
      <c r="M16" s="38">
        <f t="shared" si="14"/>
        <v>0.2647058824</v>
      </c>
      <c r="N16" s="55"/>
      <c r="O16" s="65"/>
      <c r="P16" s="47">
        <v>7.0</v>
      </c>
      <c r="Q16" s="76">
        <v>2.0</v>
      </c>
      <c r="R16" s="76">
        <v>3.0</v>
      </c>
      <c r="S16" s="76">
        <v>8.0</v>
      </c>
      <c r="T16" s="76">
        <v>1.0</v>
      </c>
      <c r="U16" s="26">
        <f t="shared" si="15"/>
        <v>1.285714286</v>
      </c>
      <c r="V16" s="25">
        <f t="shared" si="16"/>
        <v>1.571428571</v>
      </c>
      <c r="W16" s="78">
        <f t="shared" si="17"/>
        <v>0.6666666667</v>
      </c>
      <c r="X16" s="55"/>
      <c r="Y16" s="77"/>
    </row>
    <row r="17" hidden="1">
      <c r="A17" s="29" t="s">
        <v>24</v>
      </c>
      <c r="B17" s="31">
        <v>1.0</v>
      </c>
      <c r="C17" s="31">
        <v>3.0</v>
      </c>
      <c r="D17" s="15">
        <v>1.0</v>
      </c>
      <c r="E17" s="49">
        <v>0.3</v>
      </c>
      <c r="F17" s="47">
        <v>33.0</v>
      </c>
      <c r="G17" s="47">
        <v>10.0</v>
      </c>
      <c r="H17" s="76">
        <v>7.0</v>
      </c>
      <c r="I17" s="76">
        <v>5.0</v>
      </c>
      <c r="J17" s="76">
        <v>2.0</v>
      </c>
      <c r="K17" s="32">
        <f t="shared" si="12"/>
        <v>0.3571428571</v>
      </c>
      <c r="L17" s="20">
        <f t="shared" si="13"/>
        <v>0.2121212121</v>
      </c>
      <c r="M17" s="38">
        <f t="shared" si="14"/>
        <v>0.4545454545</v>
      </c>
      <c r="N17" s="55"/>
      <c r="O17" s="65"/>
      <c r="P17" s="47">
        <v>7.0</v>
      </c>
      <c r="Q17" s="76">
        <v>4.0</v>
      </c>
      <c r="R17" s="76">
        <v>2.0</v>
      </c>
      <c r="S17" s="76">
        <v>9.0</v>
      </c>
      <c r="T17" s="76">
        <v>2.0</v>
      </c>
      <c r="U17" s="25">
        <f t="shared" si="15"/>
        <v>2.571428571</v>
      </c>
      <c r="V17" s="25">
        <f t="shared" si="16"/>
        <v>1.571428571</v>
      </c>
      <c r="W17" s="78">
        <f t="shared" si="17"/>
        <v>2</v>
      </c>
      <c r="X17" s="55"/>
      <c r="Y17" s="66"/>
    </row>
    <row r="18" hidden="1">
      <c r="A18" s="29" t="s">
        <v>25</v>
      </c>
      <c r="B18" s="31">
        <v>2.0</v>
      </c>
      <c r="C18" s="31">
        <v>3.0</v>
      </c>
      <c r="D18" s="15">
        <v>1.0</v>
      </c>
      <c r="E18" s="49">
        <v>0.417</v>
      </c>
      <c r="F18" s="47">
        <v>41.0</v>
      </c>
      <c r="G18" s="47">
        <v>4.0</v>
      </c>
      <c r="H18" s="76">
        <v>16.0</v>
      </c>
      <c r="I18" s="76">
        <v>9.0</v>
      </c>
      <c r="J18" s="76">
        <v>0.0</v>
      </c>
      <c r="K18" s="32">
        <f t="shared" si="12"/>
        <v>0.125</v>
      </c>
      <c r="L18" s="20">
        <f t="shared" si="13"/>
        <v>0.3902439024</v>
      </c>
      <c r="M18" s="33">
        <f t="shared" si="14"/>
        <v>0.3170731707</v>
      </c>
      <c r="N18" s="55"/>
      <c r="O18" s="65"/>
      <c r="P18" s="47">
        <v>10.0</v>
      </c>
      <c r="Q18" s="76">
        <v>11.0</v>
      </c>
      <c r="R18" s="76">
        <v>5.0</v>
      </c>
      <c r="S18" s="76">
        <v>5.0</v>
      </c>
      <c r="T18" s="76">
        <v>2.0</v>
      </c>
      <c r="U18" s="26">
        <f t="shared" si="15"/>
        <v>1.8</v>
      </c>
      <c r="V18" s="26">
        <f t="shared" si="16"/>
        <v>1</v>
      </c>
      <c r="W18" s="78">
        <f t="shared" si="17"/>
        <v>2.2</v>
      </c>
      <c r="X18" s="55"/>
      <c r="Y18" s="77"/>
    </row>
    <row r="19" hidden="1">
      <c r="A19" s="29" t="s">
        <v>26</v>
      </c>
      <c r="B19" s="31">
        <v>2.0</v>
      </c>
      <c r="C19" s="31">
        <v>1.0</v>
      </c>
      <c r="D19" s="15">
        <v>1.0</v>
      </c>
      <c r="E19" s="49">
        <v>0.625</v>
      </c>
      <c r="F19" s="47">
        <v>22.0</v>
      </c>
      <c r="G19" s="47">
        <v>6.0</v>
      </c>
      <c r="H19" s="76">
        <v>7.0</v>
      </c>
      <c r="I19" s="76">
        <v>2.0</v>
      </c>
      <c r="J19" s="76">
        <v>1.0</v>
      </c>
      <c r="K19" s="37">
        <f t="shared" si="12"/>
        <v>0.3</v>
      </c>
      <c r="L19" s="20">
        <f t="shared" si="13"/>
        <v>0.3181818182</v>
      </c>
      <c r="M19" s="33">
        <f t="shared" si="14"/>
        <v>0.3636363636</v>
      </c>
      <c r="N19" s="55"/>
      <c r="O19" s="65"/>
      <c r="P19" s="47">
        <v>4.0</v>
      </c>
      <c r="Q19" s="76">
        <v>7.0</v>
      </c>
      <c r="R19" s="76">
        <v>3.0</v>
      </c>
      <c r="S19" s="76">
        <v>6.0</v>
      </c>
      <c r="T19" s="76">
        <v>2.0</v>
      </c>
      <c r="U19" s="26">
        <f t="shared" si="15"/>
        <v>4.5</v>
      </c>
      <c r="V19" s="26">
        <f t="shared" si="16"/>
        <v>2.25</v>
      </c>
      <c r="W19" s="78">
        <f t="shared" si="17"/>
        <v>2.333333333</v>
      </c>
      <c r="X19" s="55"/>
      <c r="Y19" s="66"/>
    </row>
    <row r="20" hidden="1">
      <c r="A20" s="41" t="s">
        <v>27</v>
      </c>
      <c r="B20" s="42">
        <v>3.0</v>
      </c>
      <c r="C20" s="42">
        <v>0.0</v>
      </c>
      <c r="D20" s="43">
        <v>2.0</v>
      </c>
      <c r="E20" s="49">
        <v>0.8</v>
      </c>
      <c r="F20" s="47">
        <v>31.0</v>
      </c>
      <c r="G20" s="47">
        <v>5.0</v>
      </c>
      <c r="H20" s="76">
        <v>5.0</v>
      </c>
      <c r="I20" s="76">
        <v>12.0</v>
      </c>
      <c r="J20" s="76">
        <v>5.0</v>
      </c>
      <c r="K20" s="44">
        <f t="shared" si="12"/>
        <v>0.2631578947</v>
      </c>
      <c r="L20" s="20">
        <f t="shared" si="13"/>
        <v>0.1612903226</v>
      </c>
      <c r="M20" s="45">
        <f t="shared" si="14"/>
        <v>0.5483870968</v>
      </c>
      <c r="N20" s="55"/>
      <c r="O20" s="65"/>
      <c r="P20" s="47">
        <v>8.0</v>
      </c>
      <c r="Q20" s="76">
        <v>7.0</v>
      </c>
      <c r="R20" s="76">
        <v>7.0</v>
      </c>
      <c r="S20" s="76">
        <v>6.0</v>
      </c>
      <c r="T20" s="76">
        <v>2.0</v>
      </c>
      <c r="U20" s="25">
        <f t="shared" si="15"/>
        <v>2.25</v>
      </c>
      <c r="V20" s="25">
        <f t="shared" si="16"/>
        <v>1.625</v>
      </c>
      <c r="W20" s="78">
        <f t="shared" si="17"/>
        <v>1</v>
      </c>
      <c r="X20" s="55"/>
      <c r="Y20" s="77"/>
    </row>
    <row r="21" hidden="1">
      <c r="A21" s="47" t="s">
        <v>28</v>
      </c>
      <c r="B21" s="48">
        <v>0.0</v>
      </c>
      <c r="C21" s="48">
        <v>1.0</v>
      </c>
      <c r="D21" s="43">
        <v>2.0</v>
      </c>
      <c r="E21" s="49">
        <v>0.33</v>
      </c>
      <c r="F21" s="47">
        <v>13.0</v>
      </c>
      <c r="G21" s="47">
        <v>2.0</v>
      </c>
      <c r="H21" s="76">
        <v>3.0</v>
      </c>
      <c r="I21" s="76">
        <v>2.0</v>
      </c>
      <c r="J21" s="76">
        <v>1.0</v>
      </c>
      <c r="K21" s="44">
        <f t="shared" si="12"/>
        <v>0.1818181818</v>
      </c>
      <c r="L21" s="20">
        <f t="shared" si="13"/>
        <v>0.2307692308</v>
      </c>
      <c r="M21" s="45">
        <f t="shared" si="14"/>
        <v>0.3076923077</v>
      </c>
      <c r="N21" s="55"/>
      <c r="O21" s="65"/>
      <c r="P21" s="47">
        <v>4.0</v>
      </c>
      <c r="Q21" s="76">
        <v>3.0</v>
      </c>
      <c r="R21" s="76">
        <v>4.0</v>
      </c>
      <c r="S21" s="76">
        <v>4.0</v>
      </c>
      <c r="T21" s="76">
        <v>3.0</v>
      </c>
      <c r="U21" s="26">
        <f t="shared" si="15"/>
        <v>6.75</v>
      </c>
      <c r="V21" s="25">
        <f t="shared" si="16"/>
        <v>2</v>
      </c>
      <c r="W21" s="79">
        <f t="shared" si="17"/>
        <v>0.75</v>
      </c>
      <c r="X21" s="55"/>
      <c r="Y21" s="66"/>
    </row>
  </sheetData>
  <conditionalFormatting sqref="E2:E12 E14:E21">
    <cfRule type="colorScale" priority="1">
      <colorScale>
        <cfvo type="min"/>
        <cfvo type="percentile" val="50"/>
        <cfvo type="max"/>
        <color rgb="FFE06666"/>
        <color rgb="FFFFD666"/>
        <color rgb="FF57BB8A"/>
      </colorScale>
    </cfRule>
  </conditionalFormatting>
  <conditionalFormatting sqref="K2:K9 K11:K12 K14:K21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L2:L9 L11:L12 L14:L21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2:M9 M11:M12 M14:M21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U2:U9 U11:U12 U14:U21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V2:V9 V11:V12 V14:V21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W2:W9 N10:O12 X10:Y12 W11:W12 N14:O21 W14:Y21">
    <cfRule type="colorScale" priority="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.63"/>
    <col customWidth="1" min="3" max="3" width="2.13"/>
    <col customWidth="1" min="4" max="4" width="3.25"/>
    <col customWidth="1" min="5" max="5" width="5.13"/>
    <col customWidth="1" min="6" max="6" width="3.38"/>
    <col customWidth="1" min="7" max="8" width="3.0"/>
    <col customWidth="1" min="9" max="9" width="3.25"/>
    <col customWidth="1" min="10" max="10" width="4.5"/>
    <col customWidth="1" min="11" max="11" width="5.13"/>
    <col customWidth="1" min="12" max="13" width="6.0"/>
    <col customWidth="1" min="14" max="15" width="2.88"/>
    <col customWidth="1" min="16" max="16" width="3.25"/>
    <col customWidth="1" min="17" max="18" width="3.38"/>
    <col customWidth="1" min="19" max="19" width="4.38"/>
    <col customWidth="1" min="20" max="20" width="5.38"/>
    <col customWidth="1" min="21" max="21" width="4.75"/>
  </cols>
  <sheetData>
    <row r="1">
      <c r="A1" s="80">
        <v>44707.0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3"/>
      <c r="L1" s="81" t="s">
        <v>17</v>
      </c>
      <c r="M1" s="82" t="s">
        <v>18</v>
      </c>
    </row>
    <row r="2">
      <c r="A2" s="76" t="s">
        <v>34</v>
      </c>
      <c r="B2" s="84">
        <v>2.0</v>
      </c>
      <c r="C2" s="76">
        <v>4.0</v>
      </c>
      <c r="F2" s="76">
        <f t="shared" ref="F2:F5" si="1">sum(G2:J2)</f>
        <v>1</v>
      </c>
      <c r="G2" s="76">
        <v>1.0</v>
      </c>
      <c r="K2" s="85"/>
      <c r="L2" s="86">
        <f t="shared" ref="L2:L5" si="2"> 9*E2/B2</f>
        <v>0</v>
      </c>
      <c r="M2" s="87">
        <f t="shared" ref="M2:M5" si="3">(D2+F2)/B2</f>
        <v>0.5</v>
      </c>
    </row>
    <row r="3">
      <c r="A3" s="76" t="s">
        <v>22</v>
      </c>
      <c r="B3" s="84">
        <v>2.0</v>
      </c>
      <c r="C3" s="76">
        <v>2.0</v>
      </c>
      <c r="F3" s="76">
        <f t="shared" si="1"/>
        <v>2</v>
      </c>
      <c r="G3" s="76">
        <v>1.0</v>
      </c>
      <c r="H3" s="76">
        <v>1.0</v>
      </c>
      <c r="K3" s="85"/>
      <c r="L3" s="86">
        <f t="shared" si="2"/>
        <v>0</v>
      </c>
      <c r="M3" s="87">
        <f t="shared" si="3"/>
        <v>1</v>
      </c>
    </row>
    <row r="4">
      <c r="A4" s="76" t="s">
        <v>24</v>
      </c>
      <c r="B4" s="84">
        <v>2.0</v>
      </c>
      <c r="D4" s="76">
        <v>1.0</v>
      </c>
      <c r="E4" s="76">
        <v>1.0</v>
      </c>
      <c r="F4" s="76">
        <f t="shared" si="1"/>
        <v>4</v>
      </c>
      <c r="G4" s="76">
        <v>1.0</v>
      </c>
      <c r="H4" s="76">
        <v>3.0</v>
      </c>
      <c r="K4" s="85"/>
      <c r="L4" s="86">
        <f t="shared" si="2"/>
        <v>4.5</v>
      </c>
      <c r="M4" s="87">
        <f t="shared" si="3"/>
        <v>2.5</v>
      </c>
    </row>
    <row r="5">
      <c r="A5" s="29" t="s">
        <v>23</v>
      </c>
      <c r="B5" s="84">
        <v>1.0</v>
      </c>
      <c r="F5" s="76">
        <f t="shared" si="1"/>
        <v>2</v>
      </c>
      <c r="G5" s="76">
        <v>1.0</v>
      </c>
      <c r="H5" s="76">
        <v>1.0</v>
      </c>
      <c r="K5" s="85"/>
      <c r="L5" s="86">
        <f t="shared" si="2"/>
        <v>0</v>
      </c>
      <c r="M5" s="87">
        <f t="shared" si="3"/>
        <v>2</v>
      </c>
    </row>
    <row r="6">
      <c r="L6" s="87"/>
      <c r="M6" s="87"/>
    </row>
    <row r="7">
      <c r="A7" s="80">
        <v>44708.0</v>
      </c>
      <c r="B7" s="81" t="s">
        <v>14</v>
      </c>
      <c r="C7" s="82" t="s">
        <v>6</v>
      </c>
      <c r="D7" s="82" t="s">
        <v>7</v>
      </c>
      <c r="E7" s="82" t="s">
        <v>16</v>
      </c>
      <c r="F7" s="82" t="s">
        <v>15</v>
      </c>
      <c r="G7" s="82" t="s">
        <v>30</v>
      </c>
      <c r="H7" s="82" t="s">
        <v>31</v>
      </c>
      <c r="I7" s="82" t="s">
        <v>32</v>
      </c>
      <c r="J7" s="82" t="s">
        <v>33</v>
      </c>
      <c r="K7" s="82"/>
      <c r="L7" s="88" t="s">
        <v>17</v>
      </c>
      <c r="M7" s="89" t="s">
        <v>18</v>
      </c>
    </row>
    <row r="8">
      <c r="A8" s="76" t="s">
        <v>22</v>
      </c>
      <c r="B8" s="84">
        <v>2.0</v>
      </c>
      <c r="C8" s="76">
        <v>3.0</v>
      </c>
      <c r="F8" s="51">
        <f t="shared" ref="F8:F11" si="4">sum(G8:J8)</f>
        <v>2</v>
      </c>
      <c r="H8" s="76">
        <v>2.0</v>
      </c>
      <c r="L8" s="86">
        <f t="shared" ref="L8:L11" si="5"> 9*E8/B8</f>
        <v>0</v>
      </c>
      <c r="M8" s="87">
        <f t="shared" ref="M8:M11" si="6">(D8+F8)/B8</f>
        <v>1</v>
      </c>
    </row>
    <row r="9">
      <c r="A9" s="76" t="s">
        <v>25</v>
      </c>
      <c r="B9" s="84">
        <v>1.0</v>
      </c>
      <c r="C9" s="76">
        <v>2.0</v>
      </c>
      <c r="D9" s="76">
        <v>1.0</v>
      </c>
      <c r="F9" s="51">
        <f t="shared" si="4"/>
        <v>2</v>
      </c>
      <c r="G9" s="76">
        <v>2.0</v>
      </c>
      <c r="L9" s="86">
        <f t="shared" si="5"/>
        <v>0</v>
      </c>
      <c r="M9" s="87">
        <f t="shared" si="6"/>
        <v>3</v>
      </c>
    </row>
    <row r="10">
      <c r="A10" s="76" t="s">
        <v>26</v>
      </c>
      <c r="B10" s="84">
        <v>1.0</v>
      </c>
      <c r="C10" s="76">
        <v>3.0</v>
      </c>
      <c r="F10" s="51">
        <f t="shared" si="4"/>
        <v>0</v>
      </c>
      <c r="L10" s="86">
        <f t="shared" si="5"/>
        <v>0</v>
      </c>
      <c r="M10" s="87">
        <f t="shared" si="6"/>
        <v>0</v>
      </c>
    </row>
    <row r="11">
      <c r="A11" s="76" t="s">
        <v>34</v>
      </c>
      <c r="B11" s="84">
        <v>2.0</v>
      </c>
      <c r="C11" s="76">
        <v>3.0</v>
      </c>
      <c r="F11" s="51">
        <f t="shared" si="4"/>
        <v>1</v>
      </c>
      <c r="H11" s="76">
        <v>1.0</v>
      </c>
      <c r="L11" s="86">
        <f t="shared" si="5"/>
        <v>0</v>
      </c>
      <c r="M11" s="87">
        <f t="shared" si="6"/>
        <v>0.5</v>
      </c>
    </row>
    <row r="12">
      <c r="L12" s="87"/>
      <c r="M12" s="87"/>
    </row>
    <row r="13">
      <c r="A13" s="80">
        <v>44711.0</v>
      </c>
      <c r="B13" s="81" t="s">
        <v>14</v>
      </c>
      <c r="C13" s="82" t="s">
        <v>6</v>
      </c>
      <c r="D13" s="82" t="s">
        <v>7</v>
      </c>
      <c r="E13" s="82" t="s">
        <v>16</v>
      </c>
      <c r="F13" s="82" t="s">
        <v>15</v>
      </c>
      <c r="G13" s="82" t="s">
        <v>30</v>
      </c>
      <c r="H13" s="82" t="s">
        <v>31</v>
      </c>
      <c r="I13" s="82" t="s">
        <v>32</v>
      </c>
      <c r="J13" s="82" t="s">
        <v>33</v>
      </c>
      <c r="K13" s="82"/>
      <c r="L13" s="88" t="s">
        <v>17</v>
      </c>
      <c r="M13" s="89" t="s">
        <v>18</v>
      </c>
    </row>
    <row r="14">
      <c r="A14" s="76" t="s">
        <v>34</v>
      </c>
      <c r="B14" s="84">
        <v>2.0</v>
      </c>
      <c r="C14" s="76">
        <v>1.0</v>
      </c>
      <c r="F14" s="51">
        <f t="shared" ref="F14:F19" si="7">sum(G14:J14)</f>
        <v>5</v>
      </c>
      <c r="G14" s="76">
        <v>5.0</v>
      </c>
      <c r="L14" s="86">
        <f t="shared" ref="L14:L19" si="8"> 9*E14/B14</f>
        <v>0</v>
      </c>
      <c r="M14" s="87">
        <f t="shared" ref="M14:M19" si="9">(D14+F14)/B14</f>
        <v>2.5</v>
      </c>
    </row>
    <row r="15">
      <c r="A15" s="76" t="s">
        <v>22</v>
      </c>
      <c r="B15" s="84">
        <v>1.0</v>
      </c>
      <c r="C15" s="76">
        <v>2.0</v>
      </c>
      <c r="D15" s="76">
        <v>2.0</v>
      </c>
      <c r="F15" s="51">
        <f t="shared" si="7"/>
        <v>0</v>
      </c>
      <c r="L15" s="86">
        <f t="shared" si="8"/>
        <v>0</v>
      </c>
      <c r="M15" s="87">
        <f t="shared" si="9"/>
        <v>2</v>
      </c>
    </row>
    <row r="16">
      <c r="A16" s="76" t="s">
        <v>24</v>
      </c>
      <c r="B16" s="84">
        <v>2.0</v>
      </c>
      <c r="C16" s="76">
        <v>1.0</v>
      </c>
      <c r="E16" s="76">
        <v>1.0</v>
      </c>
      <c r="F16" s="51">
        <f t="shared" si="7"/>
        <v>2</v>
      </c>
      <c r="H16" s="76">
        <v>2.0</v>
      </c>
      <c r="L16" s="86">
        <f t="shared" si="8"/>
        <v>4.5</v>
      </c>
      <c r="M16" s="87">
        <f t="shared" si="9"/>
        <v>1</v>
      </c>
    </row>
    <row r="17">
      <c r="A17" s="76" t="s">
        <v>25</v>
      </c>
      <c r="B17" s="84">
        <v>2.0</v>
      </c>
      <c r="C17" s="76">
        <v>2.0</v>
      </c>
      <c r="F17" s="51">
        <f t="shared" si="7"/>
        <v>0</v>
      </c>
      <c r="L17" s="86">
        <f t="shared" si="8"/>
        <v>0</v>
      </c>
      <c r="M17" s="87">
        <f t="shared" si="9"/>
        <v>0</v>
      </c>
    </row>
    <row r="18">
      <c r="A18" s="76" t="s">
        <v>26</v>
      </c>
      <c r="B18" s="84">
        <v>1.0</v>
      </c>
      <c r="C18" s="76">
        <v>2.0</v>
      </c>
      <c r="D18" s="76">
        <v>1.0</v>
      </c>
      <c r="E18" s="76">
        <v>2.0</v>
      </c>
      <c r="F18" s="51">
        <f t="shared" si="7"/>
        <v>4</v>
      </c>
      <c r="G18" s="76">
        <v>4.0</v>
      </c>
      <c r="L18" s="86">
        <f t="shared" si="8"/>
        <v>18</v>
      </c>
      <c r="M18" s="87">
        <f t="shared" si="9"/>
        <v>5</v>
      </c>
    </row>
    <row r="19">
      <c r="A19" s="76" t="s">
        <v>35</v>
      </c>
      <c r="B19" s="84">
        <v>2.0</v>
      </c>
      <c r="D19" s="76">
        <v>1.0</v>
      </c>
      <c r="F19" s="51">
        <f t="shared" si="7"/>
        <v>2</v>
      </c>
      <c r="G19" s="76">
        <v>1.0</v>
      </c>
      <c r="H19" s="76">
        <v>1.0</v>
      </c>
      <c r="L19" s="86">
        <f t="shared" si="8"/>
        <v>0</v>
      </c>
      <c r="M19" s="87">
        <f t="shared" si="9"/>
        <v>1.5</v>
      </c>
    </row>
    <row r="20">
      <c r="L20" s="87"/>
      <c r="M20" s="87"/>
    </row>
    <row r="21">
      <c r="A21" s="80">
        <v>44715.0</v>
      </c>
      <c r="B21" s="81" t="s">
        <v>14</v>
      </c>
      <c r="C21" s="82" t="s">
        <v>6</v>
      </c>
      <c r="D21" s="82" t="s">
        <v>7</v>
      </c>
      <c r="E21" s="82" t="s">
        <v>16</v>
      </c>
      <c r="F21" s="82" t="s">
        <v>15</v>
      </c>
      <c r="G21" s="82" t="s">
        <v>30</v>
      </c>
      <c r="H21" s="82" t="s">
        <v>31</v>
      </c>
      <c r="I21" s="82" t="s">
        <v>32</v>
      </c>
      <c r="J21" s="82" t="s">
        <v>33</v>
      </c>
      <c r="K21" s="82"/>
      <c r="L21" s="88" t="s">
        <v>17</v>
      </c>
      <c r="M21" s="89" t="s">
        <v>18</v>
      </c>
    </row>
    <row r="22">
      <c r="A22" s="76" t="s">
        <v>27</v>
      </c>
      <c r="B22" s="84">
        <v>2.0</v>
      </c>
      <c r="C22" s="76">
        <v>1.0</v>
      </c>
      <c r="D22" s="76">
        <v>2.0</v>
      </c>
      <c r="F22" s="51">
        <f t="shared" ref="F22:F27" si="10">sum(G22:J22)</f>
        <v>2</v>
      </c>
      <c r="G22" s="76">
        <v>1.0</v>
      </c>
      <c r="H22" s="76">
        <v>1.0</v>
      </c>
      <c r="L22" s="86">
        <f t="shared" ref="L22:L27" si="11"> 9*E22/B22</f>
        <v>0</v>
      </c>
      <c r="M22" s="87">
        <f t="shared" ref="M22:M27" si="12">(D22+F22)/B22</f>
        <v>2</v>
      </c>
    </row>
    <row r="23">
      <c r="A23" s="76" t="s">
        <v>25</v>
      </c>
      <c r="B23" s="84">
        <v>2.0</v>
      </c>
      <c r="C23" s="76">
        <v>4.0</v>
      </c>
      <c r="E23" s="76">
        <v>1.0</v>
      </c>
      <c r="F23" s="51">
        <f t="shared" si="10"/>
        <v>1</v>
      </c>
      <c r="J23" s="76">
        <v>1.0</v>
      </c>
      <c r="K23" s="76"/>
      <c r="L23" s="86">
        <f t="shared" si="11"/>
        <v>4.5</v>
      </c>
      <c r="M23" s="87">
        <f t="shared" si="12"/>
        <v>0.5</v>
      </c>
    </row>
    <row r="24">
      <c r="A24" s="76" t="s">
        <v>22</v>
      </c>
      <c r="B24" s="84">
        <v>2.0</v>
      </c>
      <c r="C24" s="76">
        <v>5.0</v>
      </c>
      <c r="D24" s="76">
        <v>2.0</v>
      </c>
      <c r="F24" s="51">
        <f t="shared" si="10"/>
        <v>0</v>
      </c>
      <c r="L24" s="86">
        <f t="shared" si="11"/>
        <v>0</v>
      </c>
      <c r="M24" s="87">
        <f t="shared" si="12"/>
        <v>1</v>
      </c>
    </row>
    <row r="25">
      <c r="A25" s="29" t="s">
        <v>23</v>
      </c>
      <c r="B25" s="84">
        <v>2.0</v>
      </c>
      <c r="F25" s="51">
        <f t="shared" si="10"/>
        <v>2</v>
      </c>
      <c r="G25" s="76">
        <v>1.0</v>
      </c>
      <c r="H25" s="76">
        <v>1.0</v>
      </c>
      <c r="L25" s="86">
        <f t="shared" si="11"/>
        <v>0</v>
      </c>
      <c r="M25" s="87">
        <f t="shared" si="12"/>
        <v>1</v>
      </c>
    </row>
    <row r="26">
      <c r="A26" s="76" t="s">
        <v>24</v>
      </c>
      <c r="B26" s="84">
        <v>2.0</v>
      </c>
      <c r="C26" s="76">
        <v>3.0</v>
      </c>
      <c r="D26" s="76">
        <v>1.0</v>
      </c>
      <c r="F26" s="51">
        <f t="shared" si="10"/>
        <v>1</v>
      </c>
      <c r="H26" s="76">
        <v>1.0</v>
      </c>
      <c r="L26" s="86">
        <f t="shared" si="11"/>
        <v>0</v>
      </c>
      <c r="M26" s="87">
        <f t="shared" si="12"/>
        <v>1</v>
      </c>
    </row>
    <row r="27">
      <c r="A27" s="76" t="s">
        <v>34</v>
      </c>
      <c r="B27" s="84">
        <v>2.0</v>
      </c>
      <c r="C27" s="76">
        <v>1.0</v>
      </c>
      <c r="D27" s="76">
        <v>4.0</v>
      </c>
      <c r="E27" s="76">
        <v>3.0</v>
      </c>
      <c r="F27" s="51">
        <f t="shared" si="10"/>
        <v>1</v>
      </c>
      <c r="I27" s="76"/>
      <c r="J27" s="76">
        <v>1.0</v>
      </c>
      <c r="K27" s="76"/>
      <c r="L27" s="86">
        <f t="shared" si="11"/>
        <v>13.5</v>
      </c>
      <c r="M27" s="87">
        <f t="shared" si="12"/>
        <v>2.5</v>
      </c>
    </row>
    <row r="28">
      <c r="L28" s="87"/>
      <c r="M28" s="87"/>
    </row>
    <row r="29">
      <c r="A29" s="80">
        <v>44728.0</v>
      </c>
      <c r="B29" s="81" t="s">
        <v>14</v>
      </c>
      <c r="C29" s="82" t="s">
        <v>6</v>
      </c>
      <c r="D29" s="82" t="s">
        <v>7</v>
      </c>
      <c r="E29" s="82" t="s">
        <v>16</v>
      </c>
      <c r="F29" s="82" t="s">
        <v>15</v>
      </c>
      <c r="G29" s="82" t="s">
        <v>30</v>
      </c>
      <c r="H29" s="82" t="s">
        <v>31</v>
      </c>
      <c r="I29" s="82" t="s">
        <v>32</v>
      </c>
      <c r="J29" s="82" t="s">
        <v>33</v>
      </c>
      <c r="K29" s="82"/>
      <c r="L29" s="88" t="s">
        <v>17</v>
      </c>
      <c r="M29" s="89" t="s">
        <v>18</v>
      </c>
    </row>
    <row r="30">
      <c r="A30" s="76" t="s">
        <v>27</v>
      </c>
      <c r="B30" s="84">
        <v>2.0</v>
      </c>
      <c r="C30" s="76">
        <v>2.0</v>
      </c>
      <c r="D30" s="76">
        <v>1.0</v>
      </c>
      <c r="F30" s="76">
        <f t="shared" ref="F30:F34" si="13">sum(G30:J30)</f>
        <v>1</v>
      </c>
      <c r="H30" s="76">
        <v>1.0</v>
      </c>
      <c r="L30" s="86">
        <f t="shared" ref="L30:L34" si="14"> 9*E30/B30</f>
        <v>0</v>
      </c>
      <c r="M30" s="87">
        <f t="shared" ref="M30:M34" si="15">(D30+F30)/B30</f>
        <v>1</v>
      </c>
    </row>
    <row r="31">
      <c r="A31" s="76" t="s">
        <v>22</v>
      </c>
      <c r="B31" s="84">
        <v>2.0</v>
      </c>
      <c r="C31" s="76">
        <v>3.0</v>
      </c>
      <c r="F31" s="76">
        <f t="shared" si="13"/>
        <v>1</v>
      </c>
      <c r="G31" s="76"/>
      <c r="H31" s="76">
        <v>1.0</v>
      </c>
      <c r="L31" s="86">
        <f t="shared" si="14"/>
        <v>0</v>
      </c>
      <c r="M31" s="87">
        <f t="shared" si="15"/>
        <v>0.5</v>
      </c>
    </row>
    <row r="32">
      <c r="A32" s="90" t="s">
        <v>26</v>
      </c>
      <c r="B32" s="91">
        <v>1.0</v>
      </c>
      <c r="C32" s="90">
        <v>2.0</v>
      </c>
      <c r="D32" s="90">
        <v>2.0</v>
      </c>
      <c r="E32" s="92"/>
      <c r="F32" s="76">
        <f t="shared" si="13"/>
        <v>0</v>
      </c>
      <c r="G32" s="92"/>
      <c r="H32" s="92"/>
      <c r="I32" s="92"/>
      <c r="J32" s="92"/>
      <c r="L32" s="86">
        <f t="shared" si="14"/>
        <v>0</v>
      </c>
      <c r="M32" s="87">
        <f t="shared" si="15"/>
        <v>2</v>
      </c>
    </row>
    <row r="33">
      <c r="A33" s="76" t="s">
        <v>34</v>
      </c>
      <c r="B33" s="84">
        <v>3.0</v>
      </c>
      <c r="C33" s="76">
        <v>2.0</v>
      </c>
      <c r="D33" s="76">
        <v>1.0</v>
      </c>
      <c r="F33" s="76">
        <f t="shared" si="13"/>
        <v>1</v>
      </c>
      <c r="G33" s="76"/>
      <c r="H33" s="76">
        <v>1.0</v>
      </c>
      <c r="L33" s="86">
        <f t="shared" si="14"/>
        <v>0</v>
      </c>
      <c r="M33" s="87">
        <f t="shared" si="15"/>
        <v>0.6666666667</v>
      </c>
    </row>
    <row r="34">
      <c r="A34" s="76" t="s">
        <v>25</v>
      </c>
      <c r="B34" s="84">
        <v>3.0</v>
      </c>
      <c r="C34" s="76">
        <v>2.0</v>
      </c>
      <c r="D34" s="76">
        <v>2.0</v>
      </c>
      <c r="E34" s="76">
        <v>1.0</v>
      </c>
      <c r="F34" s="76">
        <f t="shared" si="13"/>
        <v>2</v>
      </c>
      <c r="G34" s="76">
        <v>1.0</v>
      </c>
      <c r="H34" s="76">
        <v>1.0</v>
      </c>
      <c r="L34" s="86">
        <f t="shared" si="14"/>
        <v>3</v>
      </c>
      <c r="M34" s="87">
        <f t="shared" si="15"/>
        <v>1.333333333</v>
      </c>
    </row>
    <row r="35">
      <c r="L35" s="87"/>
      <c r="M35" s="87"/>
    </row>
    <row r="36">
      <c r="A36" s="80">
        <v>44729.0</v>
      </c>
      <c r="B36" s="81" t="s">
        <v>14</v>
      </c>
      <c r="C36" s="82" t="s">
        <v>6</v>
      </c>
      <c r="D36" s="82" t="s">
        <v>7</v>
      </c>
      <c r="E36" s="82" t="s">
        <v>16</v>
      </c>
      <c r="F36" s="82" t="s">
        <v>15</v>
      </c>
      <c r="G36" s="82" t="s">
        <v>30</v>
      </c>
      <c r="H36" s="82" t="s">
        <v>31</v>
      </c>
      <c r="I36" s="82" t="s">
        <v>32</v>
      </c>
      <c r="J36" s="82" t="s">
        <v>33</v>
      </c>
      <c r="K36" s="83"/>
      <c r="L36" s="88" t="s">
        <v>17</v>
      </c>
      <c r="M36" s="89" t="s">
        <v>18</v>
      </c>
    </row>
    <row r="37">
      <c r="A37" s="47" t="s">
        <v>28</v>
      </c>
      <c r="B37" s="84">
        <v>2.0</v>
      </c>
      <c r="C37" s="76">
        <v>2.0</v>
      </c>
      <c r="D37" s="76">
        <v>1.0</v>
      </c>
      <c r="F37" s="51">
        <f t="shared" ref="F37:F41" si="16">SUM(G37:J37)</f>
        <v>2</v>
      </c>
      <c r="G37" s="76">
        <v>2.0</v>
      </c>
      <c r="K37" s="85"/>
      <c r="L37" s="86">
        <f t="shared" ref="L37:L41" si="17"> 9*E37/B37</f>
        <v>0</v>
      </c>
      <c r="M37" s="87">
        <f t="shared" ref="M37:M41" si="18">(D37+F37)/B37</f>
        <v>1.5</v>
      </c>
    </row>
    <row r="38">
      <c r="A38" s="41" t="s">
        <v>27</v>
      </c>
      <c r="B38" s="84">
        <v>2.0</v>
      </c>
      <c r="C38" s="76">
        <v>1.0</v>
      </c>
      <c r="D38" s="76">
        <v>1.0</v>
      </c>
      <c r="E38" s="76">
        <v>2.0</v>
      </c>
      <c r="F38" s="51">
        <f t="shared" si="16"/>
        <v>3</v>
      </c>
      <c r="G38" s="76">
        <v>1.0</v>
      </c>
      <c r="H38" s="76">
        <v>2.0</v>
      </c>
      <c r="K38" s="85"/>
      <c r="L38" s="86">
        <f t="shared" si="17"/>
        <v>9</v>
      </c>
      <c r="M38" s="87">
        <f t="shared" si="18"/>
        <v>2</v>
      </c>
    </row>
    <row r="39">
      <c r="A39" s="29" t="s">
        <v>23</v>
      </c>
      <c r="B39" s="84">
        <v>2.0</v>
      </c>
      <c r="C39" s="76">
        <v>2.0</v>
      </c>
      <c r="D39" s="76">
        <v>3.0</v>
      </c>
      <c r="F39" s="51">
        <f t="shared" si="16"/>
        <v>2</v>
      </c>
      <c r="G39" s="76">
        <v>1.0</v>
      </c>
      <c r="H39" s="76">
        <v>1.0</v>
      </c>
      <c r="K39" s="85"/>
      <c r="L39" s="86">
        <f t="shared" si="17"/>
        <v>0</v>
      </c>
      <c r="M39" s="87">
        <f t="shared" si="18"/>
        <v>2.5</v>
      </c>
    </row>
    <row r="40">
      <c r="A40" s="76" t="s">
        <v>34</v>
      </c>
      <c r="B40" s="84">
        <v>3.0</v>
      </c>
      <c r="C40" s="76">
        <v>3.0</v>
      </c>
      <c r="F40" s="51">
        <f t="shared" si="16"/>
        <v>1</v>
      </c>
      <c r="H40" s="76">
        <v>1.0</v>
      </c>
      <c r="K40" s="85"/>
      <c r="L40" s="86">
        <f t="shared" si="17"/>
        <v>0</v>
      </c>
      <c r="M40" s="87">
        <f t="shared" si="18"/>
        <v>0.3333333333</v>
      </c>
    </row>
    <row r="41">
      <c r="A41" s="76" t="s">
        <v>22</v>
      </c>
      <c r="B41" s="84">
        <v>3.0</v>
      </c>
      <c r="C41" s="76">
        <v>4.0</v>
      </c>
      <c r="D41" s="76">
        <v>6.0</v>
      </c>
      <c r="E41" s="76">
        <v>2.0</v>
      </c>
      <c r="F41" s="51">
        <f t="shared" si="16"/>
        <v>0</v>
      </c>
      <c r="K41" s="85"/>
      <c r="L41" s="86">
        <f t="shared" si="17"/>
        <v>6</v>
      </c>
      <c r="M41" s="87">
        <f t="shared" si="18"/>
        <v>2</v>
      </c>
    </row>
    <row r="42">
      <c r="L42" s="87"/>
      <c r="M42" s="87"/>
    </row>
    <row r="43">
      <c r="A43" s="80">
        <v>44730.0</v>
      </c>
      <c r="B43" s="81" t="s">
        <v>14</v>
      </c>
      <c r="C43" s="82" t="s">
        <v>6</v>
      </c>
      <c r="D43" s="82" t="s">
        <v>7</v>
      </c>
      <c r="E43" s="82" t="s">
        <v>16</v>
      </c>
      <c r="F43" s="82" t="s">
        <v>15</v>
      </c>
      <c r="G43" s="82" t="s">
        <v>30</v>
      </c>
      <c r="H43" s="82" t="s">
        <v>31</v>
      </c>
      <c r="I43" s="82" t="s">
        <v>32</v>
      </c>
      <c r="J43" s="82" t="s">
        <v>33</v>
      </c>
      <c r="K43" s="83"/>
      <c r="L43" s="88" t="s">
        <v>17</v>
      </c>
      <c r="M43" s="89" t="s">
        <v>18</v>
      </c>
    </row>
    <row r="44">
      <c r="A44" s="76" t="s">
        <v>22</v>
      </c>
      <c r="B44" s="84">
        <v>1.0</v>
      </c>
      <c r="D44" s="76">
        <v>1.0</v>
      </c>
      <c r="F44" s="51">
        <f t="shared" ref="F44:F50" si="19">SUM(G44:J44)</f>
        <v>0</v>
      </c>
      <c r="K44" s="85"/>
      <c r="L44" s="86">
        <f t="shared" ref="L44:L50" si="20"> 9*E44/B44</f>
        <v>0</v>
      </c>
      <c r="M44" s="87">
        <f t="shared" ref="M44:M50" si="21">(D44+F44)/B44</f>
        <v>1</v>
      </c>
    </row>
    <row r="45">
      <c r="A45" s="47" t="s">
        <v>28</v>
      </c>
      <c r="B45" s="84">
        <v>1.0</v>
      </c>
      <c r="D45" s="76">
        <v>3.0</v>
      </c>
      <c r="E45" s="76">
        <v>3.0</v>
      </c>
      <c r="F45" s="51">
        <f t="shared" si="19"/>
        <v>1</v>
      </c>
      <c r="H45" s="76">
        <v>1.0</v>
      </c>
      <c r="K45" s="85"/>
      <c r="L45" s="86">
        <f t="shared" si="20"/>
        <v>27</v>
      </c>
      <c r="M45" s="87">
        <f t="shared" si="21"/>
        <v>4</v>
      </c>
    </row>
    <row r="46">
      <c r="A46" s="76" t="s">
        <v>25</v>
      </c>
      <c r="B46" s="84">
        <v>1.0</v>
      </c>
      <c r="D46" s="76">
        <v>1.0</v>
      </c>
      <c r="F46" s="51">
        <f t="shared" si="19"/>
        <v>0</v>
      </c>
      <c r="K46" s="85"/>
      <c r="L46" s="86">
        <f t="shared" si="20"/>
        <v>0</v>
      </c>
      <c r="M46" s="87">
        <f t="shared" si="21"/>
        <v>1</v>
      </c>
    </row>
    <row r="47">
      <c r="A47" s="93" t="s">
        <v>24</v>
      </c>
      <c r="B47" s="94">
        <v>0.0</v>
      </c>
      <c r="C47" s="95"/>
      <c r="D47" s="95"/>
      <c r="E47" s="95"/>
      <c r="F47" s="95">
        <f t="shared" si="19"/>
        <v>0</v>
      </c>
      <c r="G47" s="95"/>
      <c r="H47" s="95"/>
      <c r="I47" s="95"/>
      <c r="J47" s="95"/>
      <c r="K47" s="96"/>
      <c r="L47" s="97" t="str">
        <f t="shared" si="20"/>
        <v>#DIV/0!</v>
      </c>
      <c r="M47" s="98" t="str">
        <f t="shared" si="21"/>
        <v>#DIV/0!</v>
      </c>
    </row>
    <row r="48">
      <c r="A48" s="76" t="s">
        <v>34</v>
      </c>
      <c r="B48" s="84">
        <v>2.0</v>
      </c>
      <c r="D48" s="76">
        <v>1.0</v>
      </c>
      <c r="F48" s="51">
        <f t="shared" si="19"/>
        <v>1</v>
      </c>
      <c r="H48" s="76">
        <v>1.0</v>
      </c>
      <c r="K48" s="85"/>
      <c r="L48" s="86">
        <f t="shared" si="20"/>
        <v>0</v>
      </c>
      <c r="M48" s="87">
        <f t="shared" si="21"/>
        <v>1</v>
      </c>
    </row>
    <row r="49">
      <c r="A49" s="29" t="s">
        <v>23</v>
      </c>
      <c r="B49" s="84">
        <v>1.0</v>
      </c>
      <c r="E49" s="76">
        <v>1.0</v>
      </c>
      <c r="F49" s="51">
        <f t="shared" si="19"/>
        <v>2</v>
      </c>
      <c r="H49" s="76">
        <v>2.0</v>
      </c>
      <c r="K49" s="85"/>
      <c r="L49" s="86">
        <f t="shared" si="20"/>
        <v>9</v>
      </c>
      <c r="M49" s="87">
        <f t="shared" si="21"/>
        <v>2</v>
      </c>
    </row>
    <row r="50">
      <c r="A50" s="76" t="s">
        <v>27</v>
      </c>
      <c r="B50" s="84">
        <v>1.0</v>
      </c>
      <c r="C50" s="76">
        <v>1.0</v>
      </c>
      <c r="D50" s="76">
        <v>2.0</v>
      </c>
      <c r="F50" s="51">
        <f t="shared" si="19"/>
        <v>0</v>
      </c>
      <c r="K50" s="85"/>
      <c r="L50" s="86">
        <f t="shared" si="20"/>
        <v>0</v>
      </c>
      <c r="M50" s="87">
        <f t="shared" si="21"/>
        <v>2</v>
      </c>
    </row>
    <row r="51">
      <c r="L51" s="87"/>
      <c r="M51" s="87"/>
    </row>
    <row r="52">
      <c r="A52" s="80">
        <v>44731.0</v>
      </c>
      <c r="B52" s="81" t="s">
        <v>14</v>
      </c>
      <c r="C52" s="82" t="s">
        <v>6</v>
      </c>
      <c r="D52" s="82" t="s">
        <v>7</v>
      </c>
      <c r="E52" s="82" t="s">
        <v>16</v>
      </c>
      <c r="F52" s="82" t="s">
        <v>15</v>
      </c>
      <c r="G52" s="82" t="s">
        <v>30</v>
      </c>
      <c r="H52" s="82" t="s">
        <v>31</v>
      </c>
      <c r="I52" s="82" t="s">
        <v>32</v>
      </c>
      <c r="J52" s="82" t="s">
        <v>33</v>
      </c>
      <c r="K52" s="83"/>
      <c r="L52" s="88" t="s">
        <v>17</v>
      </c>
      <c r="M52" s="89" t="s">
        <v>18</v>
      </c>
    </row>
    <row r="53">
      <c r="A53" s="76" t="s">
        <v>26</v>
      </c>
      <c r="B53" s="84">
        <v>1.0</v>
      </c>
      <c r="F53" s="51">
        <f t="shared" ref="F53:F59" si="22">SUM(G53:J53)</f>
        <v>2</v>
      </c>
      <c r="G53" s="76">
        <v>1.0</v>
      </c>
      <c r="H53" s="76">
        <v>1.0</v>
      </c>
      <c r="K53" s="85"/>
      <c r="L53" s="86">
        <f t="shared" ref="L53:L59" si="23"> 9*E53/B53</f>
        <v>0</v>
      </c>
      <c r="M53" s="87">
        <f t="shared" ref="M53:M59" si="24">(D53+F53)/B53</f>
        <v>2</v>
      </c>
    </row>
    <row r="54">
      <c r="A54" s="41" t="s">
        <v>27</v>
      </c>
      <c r="B54" s="84">
        <v>1.0</v>
      </c>
      <c r="C54" s="76">
        <v>2.0</v>
      </c>
      <c r="D54" s="76">
        <v>1.0</v>
      </c>
      <c r="F54" s="51">
        <f t="shared" si="22"/>
        <v>0</v>
      </c>
      <c r="K54" s="85"/>
      <c r="L54" s="86">
        <f t="shared" si="23"/>
        <v>0</v>
      </c>
      <c r="M54" s="87">
        <f t="shared" si="24"/>
        <v>1</v>
      </c>
    </row>
    <row r="55">
      <c r="A55" s="76" t="s">
        <v>34</v>
      </c>
      <c r="B55" s="84">
        <v>1.0</v>
      </c>
      <c r="C55" s="76">
        <v>1.0</v>
      </c>
      <c r="D55" s="76">
        <v>1.0</v>
      </c>
      <c r="F55" s="51">
        <f t="shared" si="22"/>
        <v>1</v>
      </c>
      <c r="H55" s="76">
        <v>1.0</v>
      </c>
      <c r="K55" s="85"/>
      <c r="L55" s="86">
        <f t="shared" si="23"/>
        <v>0</v>
      </c>
      <c r="M55" s="87">
        <f t="shared" si="24"/>
        <v>2</v>
      </c>
    </row>
    <row r="56">
      <c r="A56" s="29" t="s">
        <v>23</v>
      </c>
      <c r="B56" s="93">
        <v>1.0</v>
      </c>
      <c r="C56" s="93"/>
      <c r="D56" s="93"/>
      <c r="E56" s="95"/>
      <c r="F56" s="95">
        <f t="shared" si="22"/>
        <v>0</v>
      </c>
      <c r="G56" s="95"/>
      <c r="H56" s="93"/>
      <c r="I56" s="95"/>
      <c r="J56" s="95"/>
      <c r="K56" s="96"/>
      <c r="L56" s="97">
        <f t="shared" si="23"/>
        <v>0</v>
      </c>
      <c r="M56" s="98">
        <f t="shared" si="24"/>
        <v>0</v>
      </c>
    </row>
    <row r="57">
      <c r="A57" s="76" t="s">
        <v>25</v>
      </c>
      <c r="B57" s="84">
        <v>1.0</v>
      </c>
      <c r="C57" s="76">
        <v>1.0</v>
      </c>
      <c r="D57" s="76">
        <v>1.0</v>
      </c>
      <c r="F57" s="51">
        <f t="shared" si="22"/>
        <v>0</v>
      </c>
      <c r="K57" s="85"/>
      <c r="L57" s="86">
        <f t="shared" si="23"/>
        <v>0</v>
      </c>
      <c r="M57" s="87">
        <f t="shared" si="24"/>
        <v>1</v>
      </c>
    </row>
    <row r="58">
      <c r="A58" s="76" t="s">
        <v>24</v>
      </c>
      <c r="B58" s="84">
        <v>1.0</v>
      </c>
      <c r="F58" s="51">
        <f t="shared" si="22"/>
        <v>2</v>
      </c>
      <c r="G58" s="76">
        <v>2.0</v>
      </c>
      <c r="K58" s="85"/>
      <c r="L58" s="86">
        <f t="shared" si="23"/>
        <v>0</v>
      </c>
      <c r="M58" s="87">
        <f t="shared" si="24"/>
        <v>2</v>
      </c>
    </row>
    <row r="59">
      <c r="A59" s="76" t="s">
        <v>22</v>
      </c>
      <c r="B59" s="84">
        <v>1.0</v>
      </c>
      <c r="C59" s="76">
        <v>3.0</v>
      </c>
      <c r="F59" s="51">
        <f t="shared" si="22"/>
        <v>2</v>
      </c>
      <c r="G59" s="76">
        <v>2.0</v>
      </c>
      <c r="K59" s="85"/>
      <c r="L59" s="86">
        <f t="shared" si="23"/>
        <v>0</v>
      </c>
      <c r="M59" s="87">
        <f t="shared" si="24"/>
        <v>2</v>
      </c>
    </row>
    <row r="60">
      <c r="A60" s="47" t="s">
        <v>28</v>
      </c>
      <c r="B60" s="76">
        <v>1.0</v>
      </c>
      <c r="C60" s="76">
        <v>1.0</v>
      </c>
      <c r="F60" s="76">
        <v>1.0</v>
      </c>
      <c r="G60" s="76"/>
      <c r="I60" s="76">
        <v>1.0</v>
      </c>
      <c r="K60" s="85"/>
      <c r="L60" s="87"/>
      <c r="M60" s="87"/>
    </row>
    <row r="62">
      <c r="V62" s="76" t="s">
        <v>36</v>
      </c>
    </row>
    <row r="64">
      <c r="A64" s="1"/>
      <c r="B64" s="2" t="s">
        <v>0</v>
      </c>
      <c r="C64" s="2" t="s">
        <v>1</v>
      </c>
      <c r="D64" s="3" t="s">
        <v>2</v>
      </c>
      <c r="E64" s="4" t="s">
        <v>3</v>
      </c>
      <c r="F64" s="5" t="s">
        <v>4</v>
      </c>
      <c r="G64" s="5" t="s">
        <v>5</v>
      </c>
      <c r="H64" s="5" t="s">
        <v>6</v>
      </c>
      <c r="I64" s="5" t="s">
        <v>7</v>
      </c>
      <c r="J64" s="6" t="s">
        <v>8</v>
      </c>
      <c r="K64" s="5" t="s">
        <v>9</v>
      </c>
      <c r="L64" s="5" t="s">
        <v>10</v>
      </c>
      <c r="M64" s="7" t="s">
        <v>11</v>
      </c>
      <c r="N64" s="5" t="s">
        <v>14</v>
      </c>
      <c r="O64" s="5" t="s">
        <v>6</v>
      </c>
      <c r="P64" s="5" t="s">
        <v>7</v>
      </c>
      <c r="Q64" s="5" t="s">
        <v>16</v>
      </c>
      <c r="R64" s="6" t="s">
        <v>15</v>
      </c>
      <c r="S64" s="10" t="s">
        <v>17</v>
      </c>
      <c r="T64" s="10" t="s">
        <v>18</v>
      </c>
      <c r="U64" s="10" t="s">
        <v>19</v>
      </c>
    </row>
    <row r="65">
      <c r="A65" s="12" t="s">
        <v>21</v>
      </c>
      <c r="B65" s="13">
        <v>3.0</v>
      </c>
      <c r="C65" s="14">
        <v>3.0</v>
      </c>
      <c r="D65" s="15">
        <v>2.0</v>
      </c>
      <c r="E65" s="16">
        <f t="shared" ref="E65:E72" si="26">(B65+(D65*0.5))/(B65+C65+D65)</f>
        <v>0.5</v>
      </c>
      <c r="F65" s="17"/>
      <c r="G65" s="17"/>
      <c r="H65" s="18"/>
      <c r="I65" s="18"/>
      <c r="J65" s="19"/>
      <c r="K65" s="20" t="str">
        <f t="shared" ref="K65:K72" si="27">G65/(F65-I65)</f>
        <v>#DIV/0!</v>
      </c>
      <c r="L65" s="20" t="str">
        <f t="shared" ref="L65:L72" si="28">H65/F65</f>
        <v>#DIV/0!</v>
      </c>
      <c r="M65" s="21" t="str">
        <f t="shared" ref="M65:M72" si="29">(G65+I65)/F65</f>
        <v>#DIV/0!</v>
      </c>
      <c r="N65" s="24">
        <f t="shared" ref="N65:N72" si="30">SUMIF($A$1:$A$60,$A65,$B$1:$B$60)</f>
        <v>17</v>
      </c>
      <c r="O65" s="24">
        <f t="shared" ref="O65:O72" si="31">SUMIF($A$1:$A$60,$A65,$C$1:$C$60)</f>
        <v>15</v>
      </c>
      <c r="P65" s="24">
        <f t="shared" ref="P65:R65" si="25">SUMIF($A$1:$A$60,$A65,D$1:D$60)</f>
        <v>7</v>
      </c>
      <c r="Q65" s="24">
        <f t="shared" si="25"/>
        <v>3</v>
      </c>
      <c r="R65" s="24">
        <f t="shared" si="25"/>
        <v>12</v>
      </c>
      <c r="S65" s="25">
        <f>(9*Q65)/N65</f>
        <v>1.588235294</v>
      </c>
      <c r="T65" s="26">
        <f>(P65+R65)/N65</f>
        <v>1.117647059</v>
      </c>
      <c r="U65" s="25">
        <f t="shared" ref="U65:U72" si="33">O65/P65</f>
        <v>2.142857143</v>
      </c>
    </row>
    <row r="66">
      <c r="A66" s="29" t="s">
        <v>22</v>
      </c>
      <c r="B66" s="30">
        <v>4.0</v>
      </c>
      <c r="C66" s="31">
        <v>2.0</v>
      </c>
      <c r="D66" s="15">
        <v>2.0</v>
      </c>
      <c r="E66" s="16">
        <f t="shared" si="26"/>
        <v>0.625</v>
      </c>
      <c r="F66" s="17"/>
      <c r="G66" s="17"/>
      <c r="H66" s="18"/>
      <c r="I66" s="18"/>
      <c r="J66" s="19"/>
      <c r="K66" s="32" t="str">
        <f t="shared" si="27"/>
        <v>#DIV/0!</v>
      </c>
      <c r="L66" s="20" t="str">
        <f t="shared" si="28"/>
        <v>#DIV/0!</v>
      </c>
      <c r="M66" s="33" t="str">
        <f t="shared" si="29"/>
        <v>#DIV/0!</v>
      </c>
      <c r="N66" s="24">
        <f t="shared" si="30"/>
        <v>14</v>
      </c>
      <c r="O66" s="24">
        <f t="shared" si="31"/>
        <v>22</v>
      </c>
      <c r="P66" s="24">
        <f t="shared" ref="P66:R66" si="32">SUMIF($A$1:$A$60,$A66,D$1:D$60)</f>
        <v>11</v>
      </c>
      <c r="Q66" s="24">
        <f t="shared" si="32"/>
        <v>2</v>
      </c>
      <c r="R66" s="24">
        <f t="shared" si="32"/>
        <v>7</v>
      </c>
      <c r="S66" s="26">
        <f t="shared" ref="S66:S72" si="35">(9*R66)/N66</f>
        <v>4.5</v>
      </c>
      <c r="T66" s="26">
        <f t="shared" ref="T66:T72" si="36">(P66+Q66)/N66</f>
        <v>0.9285714286</v>
      </c>
      <c r="U66" s="78">
        <f t="shared" si="33"/>
        <v>2</v>
      </c>
    </row>
    <row r="67">
      <c r="A67" s="29" t="s">
        <v>23</v>
      </c>
      <c r="B67" s="31">
        <v>1.0</v>
      </c>
      <c r="C67" s="31">
        <v>2.0</v>
      </c>
      <c r="D67" s="15">
        <v>2.0</v>
      </c>
      <c r="E67" s="16">
        <f t="shared" si="26"/>
        <v>0.4</v>
      </c>
      <c r="F67" s="17"/>
      <c r="G67" s="17"/>
      <c r="H67" s="18"/>
      <c r="I67" s="18"/>
      <c r="J67" s="19"/>
      <c r="K67" s="37" t="str">
        <f t="shared" si="27"/>
        <v>#DIV/0!</v>
      </c>
      <c r="L67" s="20" t="str">
        <f t="shared" si="28"/>
        <v>#DIV/0!</v>
      </c>
      <c r="M67" s="38" t="str">
        <f t="shared" si="29"/>
        <v>#DIV/0!</v>
      </c>
      <c r="N67" s="24">
        <f t="shared" si="30"/>
        <v>7</v>
      </c>
      <c r="O67" s="24">
        <f t="shared" si="31"/>
        <v>2</v>
      </c>
      <c r="P67" s="24">
        <f t="shared" ref="P67:R67" si="34">SUMIF($A$1:$A$60,$A67,D$1:D$60)</f>
        <v>3</v>
      </c>
      <c r="Q67" s="24">
        <f t="shared" si="34"/>
        <v>1</v>
      </c>
      <c r="R67" s="24">
        <f t="shared" si="34"/>
        <v>8</v>
      </c>
      <c r="S67" s="26">
        <f t="shared" si="35"/>
        <v>10.28571429</v>
      </c>
      <c r="T67" s="25">
        <f t="shared" si="36"/>
        <v>0.5714285714</v>
      </c>
      <c r="U67" s="78">
        <f t="shared" si="33"/>
        <v>0.6666666667</v>
      </c>
    </row>
    <row r="68">
      <c r="A68" s="29" t="s">
        <v>24</v>
      </c>
      <c r="B68" s="31">
        <v>1.0</v>
      </c>
      <c r="C68" s="31">
        <v>3.0</v>
      </c>
      <c r="D68" s="15">
        <v>1.0</v>
      </c>
      <c r="E68" s="16">
        <f t="shared" si="26"/>
        <v>0.3</v>
      </c>
      <c r="F68" s="17"/>
      <c r="G68" s="17"/>
      <c r="H68" s="18"/>
      <c r="I68" s="18"/>
      <c r="J68" s="19"/>
      <c r="K68" s="32" t="str">
        <f t="shared" si="27"/>
        <v>#DIV/0!</v>
      </c>
      <c r="L68" s="20" t="str">
        <f t="shared" si="28"/>
        <v>#DIV/0!</v>
      </c>
      <c r="M68" s="38" t="str">
        <f t="shared" si="29"/>
        <v>#DIV/0!</v>
      </c>
      <c r="N68" s="24">
        <f t="shared" si="30"/>
        <v>7</v>
      </c>
      <c r="O68" s="24">
        <f t="shared" si="31"/>
        <v>4</v>
      </c>
      <c r="P68" s="24">
        <f t="shared" ref="P68:R68" si="37">SUMIF($A$1:$A$60,$A68,D$1:D$60)</f>
        <v>2</v>
      </c>
      <c r="Q68" s="24">
        <f t="shared" si="37"/>
        <v>2</v>
      </c>
      <c r="R68" s="24">
        <f t="shared" si="37"/>
        <v>9</v>
      </c>
      <c r="S68" s="25">
        <f t="shared" si="35"/>
        <v>11.57142857</v>
      </c>
      <c r="T68" s="25">
        <f t="shared" si="36"/>
        <v>0.5714285714</v>
      </c>
      <c r="U68" s="78">
        <f t="shared" si="33"/>
        <v>2</v>
      </c>
    </row>
    <row r="69">
      <c r="A69" s="29" t="s">
        <v>25</v>
      </c>
      <c r="B69" s="31">
        <v>2.0</v>
      </c>
      <c r="C69" s="31">
        <v>3.0</v>
      </c>
      <c r="D69" s="15">
        <v>1.0</v>
      </c>
      <c r="E69" s="16">
        <f t="shared" si="26"/>
        <v>0.4166666667</v>
      </c>
      <c r="F69" s="17"/>
      <c r="G69" s="17"/>
      <c r="H69" s="18"/>
      <c r="I69" s="18"/>
      <c r="J69" s="19"/>
      <c r="K69" s="32" t="str">
        <f t="shared" si="27"/>
        <v>#DIV/0!</v>
      </c>
      <c r="L69" s="20" t="str">
        <f t="shared" si="28"/>
        <v>#DIV/0!</v>
      </c>
      <c r="M69" s="33" t="str">
        <f t="shared" si="29"/>
        <v>#DIV/0!</v>
      </c>
      <c r="N69" s="24">
        <f t="shared" si="30"/>
        <v>10</v>
      </c>
      <c r="O69" s="24">
        <f t="shared" si="31"/>
        <v>11</v>
      </c>
      <c r="P69" s="24">
        <f t="shared" ref="P69:R69" si="38">SUMIF($A$1:$A$60,$A69,D$1:D$60)</f>
        <v>5</v>
      </c>
      <c r="Q69" s="24">
        <f t="shared" si="38"/>
        <v>2</v>
      </c>
      <c r="R69" s="24">
        <f t="shared" si="38"/>
        <v>5</v>
      </c>
      <c r="S69" s="26">
        <f t="shared" si="35"/>
        <v>4.5</v>
      </c>
      <c r="T69" s="26">
        <f t="shared" si="36"/>
        <v>0.7</v>
      </c>
      <c r="U69" s="78">
        <f t="shared" si="33"/>
        <v>2.2</v>
      </c>
    </row>
    <row r="70">
      <c r="A70" s="29" t="s">
        <v>26</v>
      </c>
      <c r="B70" s="31">
        <v>2.0</v>
      </c>
      <c r="C70" s="31">
        <v>1.0</v>
      </c>
      <c r="D70" s="15">
        <v>1.0</v>
      </c>
      <c r="E70" s="16">
        <f t="shared" si="26"/>
        <v>0.625</v>
      </c>
      <c r="F70" s="17"/>
      <c r="G70" s="17"/>
      <c r="H70" s="18"/>
      <c r="I70" s="18"/>
      <c r="J70" s="19"/>
      <c r="K70" s="37" t="str">
        <f t="shared" si="27"/>
        <v>#DIV/0!</v>
      </c>
      <c r="L70" s="20" t="str">
        <f t="shared" si="28"/>
        <v>#DIV/0!</v>
      </c>
      <c r="M70" s="33" t="str">
        <f t="shared" si="29"/>
        <v>#DIV/0!</v>
      </c>
      <c r="N70" s="24">
        <f t="shared" si="30"/>
        <v>4</v>
      </c>
      <c r="O70" s="24">
        <f t="shared" si="31"/>
        <v>7</v>
      </c>
      <c r="P70" s="24">
        <f t="shared" ref="P70:R70" si="39">SUMIF($A$1:$A$60,$A70,D$1:D$60)</f>
        <v>3</v>
      </c>
      <c r="Q70" s="24">
        <f t="shared" si="39"/>
        <v>2</v>
      </c>
      <c r="R70" s="24">
        <f t="shared" si="39"/>
        <v>6</v>
      </c>
      <c r="S70" s="26">
        <f t="shared" si="35"/>
        <v>13.5</v>
      </c>
      <c r="T70" s="26">
        <f t="shared" si="36"/>
        <v>1.25</v>
      </c>
      <c r="U70" s="78">
        <f t="shared" si="33"/>
        <v>2.333333333</v>
      </c>
    </row>
    <row r="71">
      <c r="A71" s="41" t="s">
        <v>27</v>
      </c>
      <c r="B71" s="42">
        <v>3.0</v>
      </c>
      <c r="C71" s="42">
        <v>0.0</v>
      </c>
      <c r="D71" s="43">
        <v>2.0</v>
      </c>
      <c r="E71" s="16">
        <f t="shared" si="26"/>
        <v>0.8</v>
      </c>
      <c r="F71" s="17"/>
      <c r="G71" s="17"/>
      <c r="H71" s="18"/>
      <c r="I71" s="18"/>
      <c r="J71" s="19"/>
      <c r="K71" s="44" t="str">
        <f t="shared" si="27"/>
        <v>#DIV/0!</v>
      </c>
      <c r="L71" s="20" t="str">
        <f t="shared" si="28"/>
        <v>#DIV/0!</v>
      </c>
      <c r="M71" s="45" t="str">
        <f t="shared" si="29"/>
        <v>#DIV/0!</v>
      </c>
      <c r="N71" s="24">
        <f t="shared" si="30"/>
        <v>8</v>
      </c>
      <c r="O71" s="24">
        <f t="shared" si="31"/>
        <v>7</v>
      </c>
      <c r="P71" s="24">
        <f t="shared" ref="P71:R71" si="40">SUMIF($A$1:$A$60,$A71,D$1:D$60)</f>
        <v>7</v>
      </c>
      <c r="Q71" s="24">
        <f t="shared" si="40"/>
        <v>2</v>
      </c>
      <c r="R71" s="24">
        <f t="shared" si="40"/>
        <v>6</v>
      </c>
      <c r="S71" s="25">
        <f t="shared" si="35"/>
        <v>6.75</v>
      </c>
      <c r="T71" s="25">
        <f t="shared" si="36"/>
        <v>1.125</v>
      </c>
      <c r="U71" s="78">
        <f t="shared" si="33"/>
        <v>1</v>
      </c>
    </row>
    <row r="72">
      <c r="A72" s="47" t="s">
        <v>28</v>
      </c>
      <c r="B72" s="48">
        <v>0.0</v>
      </c>
      <c r="C72" s="48">
        <v>1.0</v>
      </c>
      <c r="D72" s="43">
        <v>2.0</v>
      </c>
      <c r="E72" s="16">
        <f t="shared" si="26"/>
        <v>0.3333333333</v>
      </c>
      <c r="F72" s="17"/>
      <c r="G72" s="17"/>
      <c r="H72" s="18"/>
      <c r="I72" s="18"/>
      <c r="J72" s="19"/>
      <c r="K72" s="44" t="str">
        <f t="shared" si="27"/>
        <v>#DIV/0!</v>
      </c>
      <c r="L72" s="20" t="str">
        <f t="shared" si="28"/>
        <v>#DIV/0!</v>
      </c>
      <c r="M72" s="45" t="str">
        <f t="shared" si="29"/>
        <v>#DIV/0!</v>
      </c>
      <c r="N72" s="24">
        <f t="shared" si="30"/>
        <v>4</v>
      </c>
      <c r="O72" s="24">
        <f t="shared" si="31"/>
        <v>3</v>
      </c>
      <c r="P72" s="24">
        <f t="shared" ref="P72:R72" si="41">SUMIF($A$1:$A$60,$A72,D$1:D$60)</f>
        <v>4</v>
      </c>
      <c r="Q72" s="24">
        <f t="shared" si="41"/>
        <v>3</v>
      </c>
      <c r="R72" s="24">
        <f t="shared" si="41"/>
        <v>4</v>
      </c>
      <c r="S72" s="26">
        <f t="shared" si="35"/>
        <v>9</v>
      </c>
      <c r="T72" s="25">
        <f t="shared" si="36"/>
        <v>1.75</v>
      </c>
      <c r="U72" s="79">
        <f t="shared" si="33"/>
        <v>0.75</v>
      </c>
    </row>
  </sheetData>
  <conditionalFormatting sqref="E65:E72">
    <cfRule type="colorScale" priority="1">
      <colorScale>
        <cfvo type="min"/>
        <cfvo type="percentile" val="50"/>
        <cfvo type="max"/>
        <color rgb="FFE06666"/>
        <color rgb="FFFFD666"/>
        <color rgb="FF57BB8A"/>
      </colorScale>
    </cfRule>
  </conditionalFormatting>
  <conditionalFormatting sqref="K65:K72">
    <cfRule type="colorScale" priority="2">
      <colorScale>
        <cfvo type="min"/>
        <cfvo type="percent" val="50"/>
        <cfvo type="max"/>
        <color rgb="FFE67C73"/>
        <color rgb="FFFFD666"/>
        <color rgb="FF57BB8A"/>
      </colorScale>
    </cfRule>
  </conditionalFormatting>
  <conditionalFormatting sqref="L65:L72"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M65:M72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S65:S72">
    <cfRule type="colorScale" priority="5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T65:T72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U65:U72">
    <cfRule type="colorScale" priority="7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4.0"/>
    <col customWidth="1" min="3" max="3" width="3.38"/>
    <col customWidth="1" min="4" max="4" width="4.25"/>
    <col customWidth="1" min="5" max="5" width="4.0"/>
    <col customWidth="1" min="6" max="6" width="3.75"/>
    <col customWidth="1" min="7" max="7" width="3.88"/>
    <col customWidth="1" min="8" max="8" width="4.13"/>
    <col customWidth="1" min="9" max="9" width="3.63"/>
    <col customWidth="1" min="10" max="14" width="4.88"/>
  </cols>
  <sheetData>
    <row r="1">
      <c r="A1" s="80">
        <v>44731.0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3"/>
      <c r="L1" s="81" t="s">
        <v>17</v>
      </c>
      <c r="M1" s="82" t="s">
        <v>18</v>
      </c>
      <c r="N1" s="99"/>
    </row>
    <row r="2">
      <c r="A2" s="76" t="s">
        <v>26</v>
      </c>
      <c r="B2" s="84">
        <v>1.0</v>
      </c>
      <c r="F2" s="51">
        <f t="shared" ref="F2:F8" si="1">SUM(G2:J2)</f>
        <v>2</v>
      </c>
      <c r="G2" s="76">
        <v>1.0</v>
      </c>
      <c r="H2" s="76">
        <v>1.0</v>
      </c>
      <c r="K2" s="85"/>
      <c r="L2" s="100">
        <f t="shared" ref="L2:L8" si="2"> 9*E2/B2</f>
        <v>0</v>
      </c>
      <c r="M2" s="51">
        <f t="shared" ref="M2:M8" si="3">(D2+F2)/B2</f>
        <v>2</v>
      </c>
    </row>
    <row r="3">
      <c r="A3" s="41" t="s">
        <v>27</v>
      </c>
      <c r="B3" s="84">
        <v>1.0</v>
      </c>
      <c r="C3" s="76">
        <v>2.0</v>
      </c>
      <c r="D3" s="76">
        <v>1.0</v>
      </c>
      <c r="F3" s="51">
        <f t="shared" si="1"/>
        <v>0</v>
      </c>
      <c r="K3" s="85"/>
      <c r="L3" s="100">
        <f t="shared" si="2"/>
        <v>0</v>
      </c>
      <c r="M3" s="51">
        <f t="shared" si="3"/>
        <v>1</v>
      </c>
    </row>
    <row r="4">
      <c r="A4" s="76" t="s">
        <v>34</v>
      </c>
      <c r="B4" s="84">
        <v>1.0</v>
      </c>
      <c r="C4" s="76">
        <v>1.0</v>
      </c>
      <c r="D4" s="76">
        <v>1.0</v>
      </c>
      <c r="F4" s="51">
        <f t="shared" si="1"/>
        <v>1</v>
      </c>
      <c r="H4" s="76">
        <v>1.0</v>
      </c>
      <c r="K4" s="85"/>
      <c r="L4" s="100">
        <f t="shared" si="2"/>
        <v>0</v>
      </c>
      <c r="M4" s="51">
        <f t="shared" si="3"/>
        <v>2</v>
      </c>
    </row>
    <row r="5">
      <c r="A5" s="29" t="s">
        <v>23</v>
      </c>
      <c r="B5" s="93">
        <v>1.0</v>
      </c>
      <c r="C5" s="93"/>
      <c r="D5" s="93"/>
      <c r="E5" s="95"/>
      <c r="F5" s="95">
        <f t="shared" si="1"/>
        <v>0</v>
      </c>
      <c r="G5" s="95"/>
      <c r="H5" s="93"/>
      <c r="I5" s="95"/>
      <c r="J5" s="95"/>
      <c r="K5" s="96"/>
      <c r="L5" s="101">
        <f t="shared" si="2"/>
        <v>0</v>
      </c>
      <c r="M5" s="95">
        <f t="shared" si="3"/>
        <v>0</v>
      </c>
    </row>
    <row r="6">
      <c r="A6" s="76" t="s">
        <v>25</v>
      </c>
      <c r="B6" s="84">
        <v>1.0</v>
      </c>
      <c r="C6" s="76">
        <v>1.0</v>
      </c>
      <c r="D6" s="76">
        <v>1.0</v>
      </c>
      <c r="F6" s="51">
        <f t="shared" si="1"/>
        <v>0</v>
      </c>
      <c r="K6" s="85"/>
      <c r="L6" s="100">
        <f t="shared" si="2"/>
        <v>0</v>
      </c>
      <c r="M6" s="51">
        <f t="shared" si="3"/>
        <v>1</v>
      </c>
    </row>
    <row r="7">
      <c r="A7" s="76" t="s">
        <v>24</v>
      </c>
      <c r="B7" s="84">
        <v>1.0</v>
      </c>
      <c r="F7" s="51">
        <f t="shared" si="1"/>
        <v>2</v>
      </c>
      <c r="G7" s="76">
        <v>2.0</v>
      </c>
      <c r="K7" s="85"/>
      <c r="L7" s="100">
        <f t="shared" si="2"/>
        <v>0</v>
      </c>
      <c r="M7" s="51">
        <f t="shared" si="3"/>
        <v>2</v>
      </c>
    </row>
    <row r="8">
      <c r="A8" s="76" t="s">
        <v>22</v>
      </c>
      <c r="B8" s="84">
        <v>1.0</v>
      </c>
      <c r="C8" s="76">
        <v>3.0</v>
      </c>
      <c r="F8" s="51">
        <f t="shared" si="1"/>
        <v>2</v>
      </c>
      <c r="G8" s="76">
        <v>2.0</v>
      </c>
      <c r="K8" s="85"/>
      <c r="L8" s="100">
        <f t="shared" si="2"/>
        <v>0</v>
      </c>
      <c r="M8" s="51">
        <f t="shared" si="3"/>
        <v>2</v>
      </c>
    </row>
    <row r="9">
      <c r="A9" s="47" t="s">
        <v>28</v>
      </c>
      <c r="B9" s="76">
        <v>1.0</v>
      </c>
      <c r="C9" s="76">
        <v>1.0</v>
      </c>
      <c r="F9" s="76">
        <v>1.0</v>
      </c>
      <c r="G9" s="76"/>
      <c r="I9" s="76">
        <v>1.0</v>
      </c>
      <c r="K9" s="85"/>
    </row>
    <row r="10" ht="10.5" customHeight="1">
      <c r="A10" s="102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93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  <c r="N11" s="76"/>
    </row>
    <row r="12">
      <c r="A12" s="76" t="s">
        <v>26</v>
      </c>
      <c r="B12" s="84">
        <f t="shared" ref="B12:B19" si="4">SUM(C12:E12,G12)</f>
        <v>4</v>
      </c>
      <c r="C12" s="76">
        <v>1.0</v>
      </c>
      <c r="E12" s="76">
        <v>1.0</v>
      </c>
      <c r="G12" s="51">
        <f t="shared" ref="G12:G14" si="5">SUM(H12:K12)</f>
        <v>2</v>
      </c>
      <c r="H12" s="76">
        <v>2.0</v>
      </c>
      <c r="L12" s="104">
        <f t="shared" ref="L12:L19" si="6">G12/(B12-D12)</f>
        <v>0.5</v>
      </c>
      <c r="M12" s="53">
        <f t="shared" ref="M12:M18" si="7">(D12+G12)/B12</f>
        <v>0.5</v>
      </c>
      <c r="N12" s="105">
        <f t="shared" ref="N12:N19" si="8">(C12*-1)+D12+(F12*2)+H12+(I12*2)+(J12*3)+(K12*4)</f>
        <v>1</v>
      </c>
    </row>
    <row r="13">
      <c r="A13" s="41" t="s">
        <v>27</v>
      </c>
      <c r="B13" s="84">
        <f t="shared" si="4"/>
        <v>4</v>
      </c>
      <c r="D13" s="76">
        <v>1.0</v>
      </c>
      <c r="E13" s="76">
        <v>1.0</v>
      </c>
      <c r="G13" s="51">
        <f t="shared" si="5"/>
        <v>2</v>
      </c>
      <c r="H13" s="76">
        <v>1.0</v>
      </c>
      <c r="J13" s="76">
        <v>1.0</v>
      </c>
      <c r="L13" s="104">
        <f t="shared" si="6"/>
        <v>0.6666666667</v>
      </c>
      <c r="M13" s="53">
        <f t="shared" si="7"/>
        <v>0.75</v>
      </c>
      <c r="N13" s="105">
        <f t="shared" si="8"/>
        <v>5</v>
      </c>
    </row>
    <row r="14">
      <c r="A14" s="76" t="s">
        <v>34</v>
      </c>
      <c r="B14" s="84">
        <f t="shared" si="4"/>
        <v>4</v>
      </c>
      <c r="C14" s="76">
        <v>2.0</v>
      </c>
      <c r="E14" s="76">
        <v>2.0</v>
      </c>
      <c r="G14" s="51">
        <f t="shared" si="5"/>
        <v>0</v>
      </c>
      <c r="L14" s="104">
        <f t="shared" si="6"/>
        <v>0</v>
      </c>
      <c r="M14" s="53">
        <f t="shared" si="7"/>
        <v>0</v>
      </c>
      <c r="N14" s="105">
        <f t="shared" si="8"/>
        <v>-2</v>
      </c>
    </row>
    <row r="15">
      <c r="A15" s="29" t="s">
        <v>23</v>
      </c>
      <c r="B15" s="94">
        <f t="shared" si="4"/>
        <v>2</v>
      </c>
      <c r="C15" s="93">
        <v>1.0</v>
      </c>
      <c r="D15" s="93"/>
      <c r="E15" s="93">
        <v>1.0</v>
      </c>
      <c r="F15" s="95"/>
      <c r="G15" s="95"/>
      <c r="H15" s="95"/>
      <c r="I15" s="95"/>
      <c r="J15" s="95"/>
      <c r="K15" s="95"/>
      <c r="L15" s="104">
        <f t="shared" si="6"/>
        <v>0</v>
      </c>
      <c r="M15" s="53">
        <f t="shared" si="7"/>
        <v>0</v>
      </c>
      <c r="N15" s="105">
        <f t="shared" si="8"/>
        <v>-1</v>
      </c>
    </row>
    <row r="16">
      <c r="A16" s="76" t="s">
        <v>25</v>
      </c>
      <c r="B16" s="84">
        <f t="shared" si="4"/>
        <v>6</v>
      </c>
      <c r="C16" s="76">
        <v>2.0</v>
      </c>
      <c r="D16" s="76">
        <v>2.0</v>
      </c>
      <c r="E16" s="76">
        <v>1.0</v>
      </c>
      <c r="G16" s="51">
        <f t="shared" ref="G16:G18" si="9">SUM(H16:K16)</f>
        <v>1</v>
      </c>
      <c r="I16" s="76">
        <v>1.0</v>
      </c>
      <c r="L16" s="104">
        <f t="shared" si="6"/>
        <v>0.25</v>
      </c>
      <c r="M16" s="53">
        <f t="shared" si="7"/>
        <v>0.5</v>
      </c>
      <c r="N16" s="105">
        <f t="shared" si="8"/>
        <v>2</v>
      </c>
    </row>
    <row r="17">
      <c r="A17" s="76" t="s">
        <v>24</v>
      </c>
      <c r="B17" s="84">
        <f t="shared" si="4"/>
        <v>6</v>
      </c>
      <c r="C17" s="76">
        <v>1.0</v>
      </c>
      <c r="D17" s="76">
        <v>1.0</v>
      </c>
      <c r="E17" s="76">
        <v>2.0</v>
      </c>
      <c r="G17" s="51">
        <f t="shared" si="9"/>
        <v>2</v>
      </c>
      <c r="H17" s="76">
        <v>2.0</v>
      </c>
      <c r="L17" s="104">
        <f t="shared" si="6"/>
        <v>0.4</v>
      </c>
      <c r="M17" s="53">
        <f t="shared" si="7"/>
        <v>0.5</v>
      </c>
      <c r="N17" s="105">
        <f t="shared" si="8"/>
        <v>2</v>
      </c>
    </row>
    <row r="18">
      <c r="A18" s="76" t="s">
        <v>22</v>
      </c>
      <c r="B18" s="84">
        <f t="shared" si="4"/>
        <v>6</v>
      </c>
      <c r="C18" s="76">
        <v>1.0</v>
      </c>
      <c r="E18" s="76">
        <v>3.0</v>
      </c>
      <c r="G18" s="51">
        <f t="shared" si="9"/>
        <v>2</v>
      </c>
      <c r="H18" s="76">
        <v>1.0</v>
      </c>
      <c r="I18" s="76">
        <v>1.0</v>
      </c>
      <c r="L18" s="104">
        <f t="shared" si="6"/>
        <v>0.3333333333</v>
      </c>
      <c r="M18" s="53">
        <f t="shared" si="7"/>
        <v>0.3333333333</v>
      </c>
      <c r="N18" s="105">
        <f t="shared" si="8"/>
        <v>2</v>
      </c>
    </row>
    <row r="19">
      <c r="A19" s="47" t="s">
        <v>28</v>
      </c>
      <c r="B19" s="84">
        <f t="shared" si="4"/>
        <v>1</v>
      </c>
      <c r="C19" s="76"/>
      <c r="E19" s="76">
        <v>1.0</v>
      </c>
      <c r="H19" s="76"/>
      <c r="I19" s="76"/>
      <c r="L19" s="104">
        <f t="shared" si="6"/>
        <v>0</v>
      </c>
      <c r="M19" s="104">
        <f>H19/(C19-E19)</f>
        <v>0</v>
      </c>
      <c r="N19" s="105">
        <f t="shared" si="8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.13"/>
    <col customWidth="1" min="3" max="3" width="2.13"/>
    <col customWidth="1" min="4" max="4" width="3.25"/>
    <col customWidth="1" min="5" max="5" width="3.63"/>
    <col customWidth="1" min="6" max="6" width="3.75"/>
    <col customWidth="1" min="7" max="9" width="3.0"/>
    <col customWidth="1" min="10" max="10" width="4.5"/>
    <col customWidth="1" min="11" max="11" width="3.38"/>
    <col customWidth="1" min="12" max="14" width="6.5"/>
  </cols>
  <sheetData>
    <row r="1">
      <c r="A1" s="80">
        <v>44730.0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3"/>
      <c r="L1" s="81" t="s">
        <v>17</v>
      </c>
      <c r="M1" s="82" t="s">
        <v>18</v>
      </c>
      <c r="N1" s="99"/>
    </row>
    <row r="2">
      <c r="A2" s="76" t="s">
        <v>22</v>
      </c>
      <c r="B2" s="84">
        <v>1.0</v>
      </c>
      <c r="D2" s="76">
        <v>1.0</v>
      </c>
      <c r="F2" s="51">
        <f t="shared" ref="F2:F8" si="1">SUM(G2:J2)</f>
        <v>0</v>
      </c>
      <c r="K2" s="85"/>
      <c r="L2" s="100">
        <f t="shared" ref="L2:L8" si="2"> 9*E2/B2</f>
        <v>0</v>
      </c>
      <c r="M2" s="51">
        <f t="shared" ref="M2:M8" si="3">(D2+F2)/B2</f>
        <v>1</v>
      </c>
    </row>
    <row r="3">
      <c r="A3" s="47" t="s">
        <v>28</v>
      </c>
      <c r="B3" s="84">
        <v>1.0</v>
      </c>
      <c r="D3" s="76">
        <v>3.0</v>
      </c>
      <c r="E3" s="76">
        <v>3.0</v>
      </c>
      <c r="F3" s="51">
        <f t="shared" si="1"/>
        <v>1</v>
      </c>
      <c r="H3" s="76">
        <v>1.0</v>
      </c>
      <c r="K3" s="85"/>
      <c r="L3" s="100">
        <f t="shared" si="2"/>
        <v>27</v>
      </c>
      <c r="M3" s="51">
        <f t="shared" si="3"/>
        <v>4</v>
      </c>
    </row>
    <row r="4">
      <c r="A4" s="76" t="s">
        <v>25</v>
      </c>
      <c r="B4" s="84">
        <v>1.0</v>
      </c>
      <c r="D4" s="76">
        <v>1.0</v>
      </c>
      <c r="F4" s="51">
        <f t="shared" si="1"/>
        <v>0</v>
      </c>
      <c r="K4" s="85"/>
      <c r="L4" s="100">
        <f t="shared" si="2"/>
        <v>0</v>
      </c>
      <c r="M4" s="51">
        <f t="shared" si="3"/>
        <v>1</v>
      </c>
    </row>
    <row r="5">
      <c r="A5" s="93" t="s">
        <v>24</v>
      </c>
      <c r="B5" s="94">
        <v>0.0</v>
      </c>
      <c r="C5" s="95"/>
      <c r="D5" s="95"/>
      <c r="E5" s="95"/>
      <c r="F5" s="95">
        <f t="shared" si="1"/>
        <v>0</v>
      </c>
      <c r="G5" s="95"/>
      <c r="H5" s="95"/>
      <c r="I5" s="95"/>
      <c r="J5" s="95"/>
      <c r="K5" s="96"/>
      <c r="L5" s="101" t="str">
        <f t="shared" si="2"/>
        <v>#DIV/0!</v>
      </c>
      <c r="M5" s="95" t="str">
        <f t="shared" si="3"/>
        <v>#DIV/0!</v>
      </c>
    </row>
    <row r="6">
      <c r="A6" s="76" t="s">
        <v>34</v>
      </c>
      <c r="B6" s="84">
        <v>2.0</v>
      </c>
      <c r="D6" s="76">
        <v>1.0</v>
      </c>
      <c r="F6" s="51">
        <f t="shared" si="1"/>
        <v>1</v>
      </c>
      <c r="H6" s="76">
        <v>1.0</v>
      </c>
      <c r="K6" s="85"/>
      <c r="L6" s="100">
        <f t="shared" si="2"/>
        <v>0</v>
      </c>
      <c r="M6" s="51">
        <f t="shared" si="3"/>
        <v>1</v>
      </c>
    </row>
    <row r="7">
      <c r="A7" s="29" t="s">
        <v>23</v>
      </c>
      <c r="B7" s="84">
        <v>1.0</v>
      </c>
      <c r="E7" s="76">
        <v>1.0</v>
      </c>
      <c r="F7" s="51">
        <f t="shared" si="1"/>
        <v>2</v>
      </c>
      <c r="H7" s="76">
        <v>2.0</v>
      </c>
      <c r="K7" s="85"/>
      <c r="L7" s="100">
        <f t="shared" si="2"/>
        <v>9</v>
      </c>
      <c r="M7" s="51">
        <f t="shared" si="3"/>
        <v>2</v>
      </c>
    </row>
    <row r="8">
      <c r="A8" s="76" t="s">
        <v>27</v>
      </c>
      <c r="B8" s="84">
        <v>1.0</v>
      </c>
      <c r="C8" s="76">
        <v>1.0</v>
      </c>
      <c r="D8" s="76">
        <v>2.0</v>
      </c>
      <c r="F8" s="51">
        <f t="shared" si="1"/>
        <v>0</v>
      </c>
      <c r="K8" s="85"/>
      <c r="L8" s="100">
        <f t="shared" si="2"/>
        <v>0</v>
      </c>
      <c r="M8" s="51">
        <f t="shared" si="3"/>
        <v>2</v>
      </c>
    </row>
    <row r="9" hidden="1">
      <c r="A9" s="76" t="s">
        <v>26</v>
      </c>
      <c r="B9" s="76"/>
      <c r="C9" s="76"/>
      <c r="D9" s="76"/>
      <c r="K9" s="85"/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93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  <c r="N11" s="76"/>
    </row>
    <row r="12">
      <c r="A12" s="76" t="s">
        <v>22</v>
      </c>
      <c r="B12" s="84">
        <f t="shared" ref="B12:B18" si="4">SUM(C12:E12,G12)</f>
        <v>5</v>
      </c>
      <c r="C12" s="76">
        <v>1.0</v>
      </c>
      <c r="E12" s="76">
        <v>4.0</v>
      </c>
      <c r="G12" s="51">
        <f t="shared" ref="G12:G18" si="5">SUM(H12:K12)</f>
        <v>0</v>
      </c>
      <c r="L12" s="104">
        <f t="shared" ref="L12:L18" si="6">G12/(B12-D12)</f>
        <v>0</v>
      </c>
      <c r="M12" s="53">
        <f t="shared" ref="M12:M18" si="7">(D12+G12)/B12</f>
        <v>0</v>
      </c>
      <c r="N12" s="105">
        <f t="shared" ref="N12:N18" si="8">(C12*-1)+D12+(F12*2)+H12+(I12*2)+(J12*3)+(K12*4)</f>
        <v>-1</v>
      </c>
    </row>
    <row r="13">
      <c r="A13" s="47" t="s">
        <v>28</v>
      </c>
      <c r="B13" s="84">
        <f t="shared" si="4"/>
        <v>5</v>
      </c>
      <c r="E13" s="76">
        <v>4.0</v>
      </c>
      <c r="G13" s="51">
        <f t="shared" si="5"/>
        <v>1</v>
      </c>
      <c r="I13" s="76">
        <v>1.0</v>
      </c>
      <c r="L13" s="104">
        <f t="shared" si="6"/>
        <v>0.2</v>
      </c>
      <c r="M13" s="53">
        <f t="shared" si="7"/>
        <v>0.2</v>
      </c>
      <c r="N13" s="105">
        <f t="shared" si="8"/>
        <v>2</v>
      </c>
    </row>
    <row r="14">
      <c r="A14" s="76" t="s">
        <v>25</v>
      </c>
      <c r="B14" s="84">
        <f t="shared" si="4"/>
        <v>4</v>
      </c>
      <c r="D14" s="76">
        <v>2.0</v>
      </c>
      <c r="E14" s="76">
        <v>1.0</v>
      </c>
      <c r="G14" s="51">
        <f t="shared" si="5"/>
        <v>1</v>
      </c>
      <c r="I14" s="76">
        <v>1.0</v>
      </c>
      <c r="L14" s="104">
        <f t="shared" si="6"/>
        <v>0.5</v>
      </c>
      <c r="M14" s="53">
        <f t="shared" si="7"/>
        <v>0.75</v>
      </c>
      <c r="N14" s="105">
        <f t="shared" si="8"/>
        <v>4</v>
      </c>
    </row>
    <row r="15">
      <c r="A15" s="93" t="s">
        <v>24</v>
      </c>
      <c r="B15" s="84">
        <f t="shared" si="4"/>
        <v>4</v>
      </c>
      <c r="C15" s="95"/>
      <c r="D15" s="93">
        <v>1.0</v>
      </c>
      <c r="E15" s="93">
        <v>2.0</v>
      </c>
      <c r="F15" s="93">
        <v>1.0</v>
      </c>
      <c r="G15" s="95">
        <f t="shared" si="5"/>
        <v>1</v>
      </c>
      <c r="H15" s="95"/>
      <c r="I15" s="93">
        <v>1.0</v>
      </c>
      <c r="J15" s="95"/>
      <c r="K15" s="95"/>
      <c r="L15" s="107">
        <f t="shared" si="6"/>
        <v>0.3333333333</v>
      </c>
      <c r="M15" s="108">
        <f t="shared" si="7"/>
        <v>0.5</v>
      </c>
      <c r="N15" s="105">
        <f t="shared" si="8"/>
        <v>5</v>
      </c>
    </row>
    <row r="16">
      <c r="A16" s="76" t="s">
        <v>34</v>
      </c>
      <c r="B16" s="84">
        <f t="shared" si="4"/>
        <v>7</v>
      </c>
      <c r="C16" s="76">
        <v>1.0</v>
      </c>
      <c r="D16" s="76">
        <v>2.0</v>
      </c>
      <c r="E16" s="76">
        <v>4.0</v>
      </c>
      <c r="F16" s="76">
        <v>0.0</v>
      </c>
      <c r="G16" s="51">
        <f t="shared" si="5"/>
        <v>0</v>
      </c>
      <c r="I16" s="76">
        <v>0.0</v>
      </c>
      <c r="L16" s="104">
        <f t="shared" si="6"/>
        <v>0</v>
      </c>
      <c r="M16" s="53">
        <f t="shared" si="7"/>
        <v>0.2857142857</v>
      </c>
      <c r="N16" s="105">
        <f t="shared" si="8"/>
        <v>1</v>
      </c>
    </row>
    <row r="17">
      <c r="A17" s="29" t="s">
        <v>23</v>
      </c>
      <c r="B17" s="84">
        <f t="shared" si="4"/>
        <v>7</v>
      </c>
      <c r="C17" s="76">
        <v>1.0</v>
      </c>
      <c r="D17" s="76">
        <v>2.0</v>
      </c>
      <c r="E17" s="76">
        <v>3.0</v>
      </c>
      <c r="F17" s="76">
        <v>2.0</v>
      </c>
      <c r="G17" s="51">
        <f t="shared" si="5"/>
        <v>1</v>
      </c>
      <c r="I17" s="76">
        <v>1.0</v>
      </c>
      <c r="L17" s="104">
        <f t="shared" si="6"/>
        <v>0.2</v>
      </c>
      <c r="M17" s="53">
        <f t="shared" si="7"/>
        <v>0.4285714286</v>
      </c>
      <c r="N17" s="105">
        <f t="shared" si="8"/>
        <v>7</v>
      </c>
    </row>
    <row r="18">
      <c r="A18" s="41" t="s">
        <v>27</v>
      </c>
      <c r="B18" s="84">
        <f t="shared" si="4"/>
        <v>6</v>
      </c>
      <c r="D18" s="76">
        <v>5.0</v>
      </c>
      <c r="E18" s="76">
        <v>1.0</v>
      </c>
      <c r="F18" s="76">
        <v>1.0</v>
      </c>
      <c r="G18" s="51">
        <f t="shared" si="5"/>
        <v>0</v>
      </c>
      <c r="L18" s="104">
        <f t="shared" si="6"/>
        <v>0</v>
      </c>
      <c r="M18" s="53">
        <f t="shared" si="7"/>
        <v>0.8333333333</v>
      </c>
      <c r="N18" s="105">
        <f t="shared" si="8"/>
        <v>7</v>
      </c>
    </row>
    <row r="19" hidden="1">
      <c r="A19" s="76" t="s">
        <v>26</v>
      </c>
      <c r="B19" s="76"/>
      <c r="D19" s="76"/>
      <c r="E19" s="76"/>
      <c r="F19" s="76"/>
      <c r="L19" s="53"/>
      <c r="M19" s="53"/>
      <c r="N19" s="5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.13"/>
    <col customWidth="1" min="3" max="3" width="2.13"/>
    <col customWidth="1" min="4" max="4" width="3.25"/>
    <col customWidth="1" min="5" max="5" width="3.63"/>
    <col customWidth="1" min="6" max="6" width="3.75"/>
    <col customWidth="1" min="7" max="9" width="3.0"/>
    <col customWidth="1" min="10" max="10" width="4.5"/>
    <col customWidth="1" min="11" max="11" width="3.38"/>
    <col customWidth="1" min="12" max="12" width="5.13"/>
    <col customWidth="1" min="13" max="14" width="5.0"/>
  </cols>
  <sheetData>
    <row r="1">
      <c r="A1" s="80">
        <v>44729.0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3"/>
      <c r="L1" s="81" t="s">
        <v>17</v>
      </c>
      <c r="M1" s="82" t="s">
        <v>18</v>
      </c>
      <c r="N1" s="99"/>
    </row>
    <row r="2">
      <c r="A2" s="47" t="s">
        <v>28</v>
      </c>
      <c r="B2" s="84">
        <v>2.0</v>
      </c>
      <c r="C2" s="76">
        <v>2.0</v>
      </c>
      <c r="D2" s="76">
        <v>1.0</v>
      </c>
      <c r="F2" s="51">
        <f t="shared" ref="F2:F6" si="1">SUM(G2:J2)</f>
        <v>2</v>
      </c>
      <c r="G2" s="76">
        <v>2.0</v>
      </c>
      <c r="K2" s="85"/>
      <c r="L2" s="100">
        <f t="shared" ref="L2:L6" si="2"> 9*E2/B2</f>
        <v>0</v>
      </c>
      <c r="M2" s="109">
        <f t="shared" ref="M2:M6" si="3">(D2+F2)/B2</f>
        <v>1.5</v>
      </c>
      <c r="N2" s="109"/>
    </row>
    <row r="3">
      <c r="A3" s="41" t="s">
        <v>27</v>
      </c>
      <c r="B3" s="84">
        <v>2.0</v>
      </c>
      <c r="C3" s="76">
        <v>1.0</v>
      </c>
      <c r="D3" s="76">
        <v>1.0</v>
      </c>
      <c r="E3" s="76">
        <v>2.0</v>
      </c>
      <c r="F3" s="51">
        <f t="shared" si="1"/>
        <v>3</v>
      </c>
      <c r="G3" s="76">
        <v>1.0</v>
      </c>
      <c r="H3" s="76">
        <v>2.0</v>
      </c>
      <c r="K3" s="85"/>
      <c r="L3" s="100">
        <f t="shared" si="2"/>
        <v>9</v>
      </c>
      <c r="M3" s="109">
        <f t="shared" si="3"/>
        <v>2</v>
      </c>
      <c r="N3" s="109"/>
    </row>
    <row r="4">
      <c r="A4" s="29" t="s">
        <v>23</v>
      </c>
      <c r="B4" s="84">
        <v>2.0</v>
      </c>
      <c r="C4" s="76">
        <v>2.0</v>
      </c>
      <c r="D4" s="76">
        <v>3.0</v>
      </c>
      <c r="F4" s="51">
        <f t="shared" si="1"/>
        <v>2</v>
      </c>
      <c r="G4" s="76">
        <v>1.0</v>
      </c>
      <c r="H4" s="76">
        <v>1.0</v>
      </c>
      <c r="K4" s="85"/>
      <c r="L4" s="100">
        <f t="shared" si="2"/>
        <v>0</v>
      </c>
      <c r="M4" s="109">
        <f t="shared" si="3"/>
        <v>2.5</v>
      </c>
      <c r="N4" s="109"/>
    </row>
    <row r="5">
      <c r="A5" s="76" t="s">
        <v>34</v>
      </c>
      <c r="B5" s="84">
        <v>3.0</v>
      </c>
      <c r="C5" s="76">
        <v>3.0</v>
      </c>
      <c r="F5" s="51">
        <f t="shared" si="1"/>
        <v>1</v>
      </c>
      <c r="H5" s="76">
        <v>1.0</v>
      </c>
      <c r="K5" s="85"/>
      <c r="L5" s="100">
        <f t="shared" si="2"/>
        <v>0</v>
      </c>
      <c r="M5" s="109">
        <f t="shared" si="3"/>
        <v>0.3333333333</v>
      </c>
      <c r="N5" s="109"/>
    </row>
    <row r="6">
      <c r="A6" s="76" t="s">
        <v>22</v>
      </c>
      <c r="B6" s="84">
        <v>3.0</v>
      </c>
      <c r="C6" s="76">
        <v>4.0</v>
      </c>
      <c r="D6" s="76">
        <v>6.0</v>
      </c>
      <c r="E6" s="76">
        <v>2.0</v>
      </c>
      <c r="F6" s="51">
        <f t="shared" si="1"/>
        <v>0</v>
      </c>
      <c r="K6" s="85"/>
      <c r="L6" s="100">
        <f t="shared" si="2"/>
        <v>6</v>
      </c>
      <c r="M6" s="109">
        <f t="shared" si="3"/>
        <v>2</v>
      </c>
      <c r="N6" s="109"/>
    </row>
    <row r="7" hidden="1">
      <c r="A7" s="76" t="s">
        <v>24</v>
      </c>
      <c r="B7" s="76"/>
      <c r="C7" s="76"/>
      <c r="D7" s="76"/>
      <c r="E7" s="76"/>
      <c r="K7" s="85"/>
      <c r="M7" s="109"/>
      <c r="N7" s="109"/>
    </row>
    <row r="8" hidden="1">
      <c r="A8" s="76" t="s">
        <v>25</v>
      </c>
      <c r="B8" s="76"/>
      <c r="C8" s="76"/>
      <c r="D8" s="76"/>
      <c r="E8" s="76"/>
      <c r="K8" s="85"/>
      <c r="M8" s="109"/>
      <c r="N8" s="109"/>
    </row>
    <row r="9" hidden="1">
      <c r="A9" s="76" t="s">
        <v>26</v>
      </c>
      <c r="B9" s="76"/>
      <c r="C9" s="76"/>
      <c r="D9" s="76"/>
      <c r="E9" s="76"/>
      <c r="K9" s="85"/>
      <c r="M9" s="109"/>
      <c r="N9" s="109"/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106"/>
      <c r="N10" s="106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93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  <c r="N11" s="76"/>
    </row>
    <row r="12">
      <c r="A12" s="47" t="s">
        <v>28</v>
      </c>
      <c r="B12" s="84">
        <f t="shared" ref="B12:B16" si="4">SUM(C12:E12,G12)</f>
        <v>7</v>
      </c>
      <c r="C12" s="76">
        <v>3.0</v>
      </c>
      <c r="D12" s="76">
        <v>2.0</v>
      </c>
      <c r="E12" s="76">
        <v>1.0</v>
      </c>
      <c r="F12" s="76">
        <v>1.0</v>
      </c>
      <c r="G12" s="51">
        <f t="shared" ref="G12:G16" si="5">SUM(H12:K12)</f>
        <v>1</v>
      </c>
      <c r="H12" s="76">
        <v>1.0</v>
      </c>
      <c r="L12" s="104">
        <f t="shared" ref="L12:L16" si="6">G12/(B12-D12)</f>
        <v>0.2</v>
      </c>
      <c r="M12" s="109">
        <f t="shared" ref="M12:M16" si="7">(D12+G12)/B12</f>
        <v>0.4285714286</v>
      </c>
      <c r="N12" s="109">
        <f t="shared" ref="N12:N16" si="8">(C12*-1)+D12+(F12*2)+H12+(I12*2)+(J12*3)+(K12*4)</f>
        <v>2</v>
      </c>
    </row>
    <row r="13">
      <c r="A13" s="41" t="s">
        <v>27</v>
      </c>
      <c r="B13" s="84">
        <f t="shared" si="4"/>
        <v>6</v>
      </c>
      <c r="D13" s="76">
        <v>3.0</v>
      </c>
      <c r="E13" s="76">
        <v>2.0</v>
      </c>
      <c r="F13" s="76">
        <v>1.0</v>
      </c>
      <c r="G13" s="51">
        <f t="shared" si="5"/>
        <v>1</v>
      </c>
      <c r="I13" s="76">
        <v>1.0</v>
      </c>
      <c r="L13" s="104">
        <f t="shared" si="6"/>
        <v>0.3333333333</v>
      </c>
      <c r="M13" s="109">
        <f t="shared" si="7"/>
        <v>0.6666666667</v>
      </c>
      <c r="N13" s="109">
        <f t="shared" si="8"/>
        <v>7</v>
      </c>
    </row>
    <row r="14">
      <c r="A14" s="76" t="s">
        <v>23</v>
      </c>
      <c r="B14" s="84">
        <f t="shared" si="4"/>
        <v>6</v>
      </c>
      <c r="C14" s="76">
        <v>4.0</v>
      </c>
      <c r="D14" s="76">
        <v>1.0</v>
      </c>
      <c r="E14" s="76">
        <v>1.0</v>
      </c>
      <c r="G14" s="51">
        <f t="shared" si="5"/>
        <v>0</v>
      </c>
      <c r="L14" s="104">
        <f t="shared" si="6"/>
        <v>0</v>
      </c>
      <c r="M14" s="109">
        <f t="shared" si="7"/>
        <v>0.1666666667</v>
      </c>
      <c r="N14" s="109">
        <f t="shared" si="8"/>
        <v>-3</v>
      </c>
    </row>
    <row r="15">
      <c r="A15" s="76" t="s">
        <v>34</v>
      </c>
      <c r="B15" s="84">
        <f t="shared" si="4"/>
        <v>12</v>
      </c>
      <c r="C15" s="76">
        <v>3.0</v>
      </c>
      <c r="D15" s="76">
        <v>3.0</v>
      </c>
      <c r="E15" s="76">
        <v>2.0</v>
      </c>
      <c r="F15" s="76">
        <v>2.0</v>
      </c>
      <c r="G15" s="51">
        <f t="shared" si="5"/>
        <v>4</v>
      </c>
      <c r="H15" s="76">
        <v>2.0</v>
      </c>
      <c r="I15" s="76">
        <v>2.0</v>
      </c>
      <c r="L15" s="104">
        <f t="shared" si="6"/>
        <v>0.4444444444</v>
      </c>
      <c r="M15" s="109">
        <f t="shared" si="7"/>
        <v>0.5833333333</v>
      </c>
      <c r="N15" s="109">
        <f t="shared" si="8"/>
        <v>10</v>
      </c>
    </row>
    <row r="16">
      <c r="A16" s="76" t="s">
        <v>22</v>
      </c>
      <c r="B16" s="84">
        <f t="shared" si="4"/>
        <v>12</v>
      </c>
      <c r="C16" s="76">
        <v>2.0</v>
      </c>
      <c r="D16" s="76">
        <v>2.0</v>
      </c>
      <c r="E16" s="76">
        <v>3.0</v>
      </c>
      <c r="G16" s="51">
        <f t="shared" si="5"/>
        <v>5</v>
      </c>
      <c r="H16" s="76">
        <v>3.0</v>
      </c>
      <c r="I16" s="76">
        <v>2.0</v>
      </c>
      <c r="L16" s="104">
        <f t="shared" si="6"/>
        <v>0.5</v>
      </c>
      <c r="M16" s="109">
        <f t="shared" si="7"/>
        <v>0.5833333333</v>
      </c>
      <c r="N16" s="109">
        <f t="shared" si="8"/>
        <v>7</v>
      </c>
    </row>
    <row r="17" hidden="1">
      <c r="A17" s="76" t="s">
        <v>24</v>
      </c>
      <c r="B17" s="76"/>
      <c r="C17" s="76"/>
      <c r="D17" s="76"/>
      <c r="E17" s="76"/>
      <c r="H17" s="76"/>
      <c r="I17" s="76"/>
      <c r="L17" s="53"/>
      <c r="M17" s="109"/>
      <c r="N17" s="109"/>
    </row>
    <row r="18" hidden="1">
      <c r="A18" s="76" t="s">
        <v>25</v>
      </c>
      <c r="B18" s="76"/>
      <c r="C18" s="76"/>
      <c r="D18" s="76"/>
      <c r="E18" s="76"/>
      <c r="H18" s="76"/>
      <c r="I18" s="76"/>
      <c r="L18" s="53"/>
      <c r="M18" s="109"/>
      <c r="N18" s="109"/>
    </row>
    <row r="19" hidden="1">
      <c r="A19" s="76" t="s">
        <v>26</v>
      </c>
      <c r="B19" s="76"/>
      <c r="C19" s="76"/>
      <c r="D19" s="76"/>
      <c r="E19" s="76"/>
      <c r="H19" s="76"/>
      <c r="I19" s="76"/>
      <c r="L19" s="53"/>
      <c r="M19" s="109"/>
      <c r="N19" s="10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.13"/>
    <col customWidth="1" min="3" max="3" width="2.13"/>
    <col customWidth="1" min="4" max="4" width="3.25"/>
    <col customWidth="1" min="5" max="5" width="3.63"/>
    <col customWidth="1" min="6" max="6" width="3.75"/>
    <col customWidth="1" min="7" max="9" width="3.0"/>
    <col customWidth="1" min="10" max="10" width="4.5"/>
    <col customWidth="1" min="11" max="11" width="2.25"/>
    <col customWidth="1" min="12" max="12" width="5.13"/>
    <col customWidth="1" min="13" max="14" width="5.38"/>
  </cols>
  <sheetData>
    <row r="1">
      <c r="A1" s="80">
        <v>44728.0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2"/>
      <c r="L1" s="81" t="s">
        <v>17</v>
      </c>
      <c r="M1" s="82" t="s">
        <v>18</v>
      </c>
      <c r="N1" s="99"/>
    </row>
    <row r="2">
      <c r="A2" s="76" t="s">
        <v>27</v>
      </c>
      <c r="B2" s="84">
        <v>2.0</v>
      </c>
      <c r="C2" s="76">
        <v>2.0</v>
      </c>
      <c r="D2" s="76">
        <v>1.0</v>
      </c>
      <c r="F2" s="76">
        <f t="shared" ref="F2:F6" si="1">sum(G2:J2)</f>
        <v>1</v>
      </c>
      <c r="H2" s="76">
        <v>1.0</v>
      </c>
      <c r="L2" s="100">
        <f t="shared" ref="L2:L6" si="2"> 9*E2/B2</f>
        <v>0</v>
      </c>
      <c r="M2" s="51">
        <f t="shared" ref="M2:M6" si="3">(D2+F2)/B2</f>
        <v>1</v>
      </c>
    </row>
    <row r="3">
      <c r="A3" s="76" t="s">
        <v>22</v>
      </c>
      <c r="B3" s="84">
        <v>2.0</v>
      </c>
      <c r="C3" s="76">
        <v>3.0</v>
      </c>
      <c r="F3" s="76">
        <f t="shared" si="1"/>
        <v>1</v>
      </c>
      <c r="G3" s="76"/>
      <c r="H3" s="76">
        <v>1.0</v>
      </c>
      <c r="L3" s="100">
        <f t="shared" si="2"/>
        <v>0</v>
      </c>
      <c r="M3" s="51">
        <f t="shared" si="3"/>
        <v>0.5</v>
      </c>
    </row>
    <row r="4">
      <c r="A4" s="90" t="s">
        <v>26</v>
      </c>
      <c r="B4" s="91">
        <v>1.0</v>
      </c>
      <c r="C4" s="90">
        <v>2.0</v>
      </c>
      <c r="D4" s="90">
        <v>2.0</v>
      </c>
      <c r="E4" s="92"/>
      <c r="F4" s="76">
        <f t="shared" si="1"/>
        <v>0</v>
      </c>
      <c r="G4" s="92"/>
      <c r="H4" s="92"/>
      <c r="I4" s="92"/>
      <c r="J4" s="92"/>
      <c r="L4" s="100">
        <f t="shared" si="2"/>
        <v>0</v>
      </c>
      <c r="M4" s="51">
        <f t="shared" si="3"/>
        <v>2</v>
      </c>
    </row>
    <row r="5">
      <c r="A5" s="76" t="s">
        <v>34</v>
      </c>
      <c r="B5" s="84">
        <v>3.0</v>
      </c>
      <c r="C5" s="76">
        <v>2.0</v>
      </c>
      <c r="D5" s="76">
        <v>1.0</v>
      </c>
      <c r="F5" s="76">
        <f t="shared" si="1"/>
        <v>1</v>
      </c>
      <c r="G5" s="76"/>
      <c r="H5" s="76">
        <v>1.0</v>
      </c>
      <c r="L5" s="100">
        <f t="shared" si="2"/>
        <v>0</v>
      </c>
      <c r="M5" s="53">
        <f t="shared" si="3"/>
        <v>0.6666666667</v>
      </c>
      <c r="N5" s="53"/>
    </row>
    <row r="6">
      <c r="A6" s="76" t="s">
        <v>25</v>
      </c>
      <c r="B6" s="84">
        <v>3.0</v>
      </c>
      <c r="C6" s="76">
        <v>2.0</v>
      </c>
      <c r="D6" s="76">
        <v>2.0</v>
      </c>
      <c r="E6" s="76">
        <v>1.0</v>
      </c>
      <c r="F6" s="76">
        <f t="shared" si="1"/>
        <v>2</v>
      </c>
      <c r="G6" s="76">
        <v>1.0</v>
      </c>
      <c r="H6" s="76">
        <v>1.0</v>
      </c>
      <c r="L6" s="100">
        <f t="shared" si="2"/>
        <v>3</v>
      </c>
      <c r="M6" s="53">
        <f t="shared" si="3"/>
        <v>1.333333333</v>
      </c>
      <c r="N6" s="53"/>
    </row>
    <row r="7" hidden="1">
      <c r="A7" s="29" t="s">
        <v>23</v>
      </c>
      <c r="B7" s="76"/>
      <c r="C7" s="76"/>
      <c r="D7" s="76"/>
      <c r="E7" s="76"/>
      <c r="F7" s="76"/>
      <c r="G7" s="76"/>
      <c r="H7" s="76"/>
      <c r="M7" s="53"/>
      <c r="N7" s="53"/>
    </row>
    <row r="8" hidden="1">
      <c r="A8" s="47" t="s">
        <v>28</v>
      </c>
      <c r="B8" s="76"/>
      <c r="C8" s="76"/>
      <c r="D8" s="76"/>
      <c r="E8" s="76"/>
      <c r="F8" s="76"/>
      <c r="G8" s="76"/>
      <c r="H8" s="76"/>
      <c r="M8" s="53"/>
      <c r="N8" s="53"/>
    </row>
    <row r="9" hidden="1">
      <c r="A9" s="47" t="s">
        <v>24</v>
      </c>
      <c r="B9" s="76"/>
      <c r="C9" s="76"/>
      <c r="D9" s="76"/>
      <c r="E9" s="76"/>
      <c r="F9" s="76"/>
      <c r="G9" s="76"/>
      <c r="H9" s="76"/>
      <c r="M9" s="53"/>
      <c r="N9" s="53"/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76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  <c r="N11" s="76"/>
    </row>
    <row r="12">
      <c r="A12" s="76" t="s">
        <v>22</v>
      </c>
      <c r="B12" s="84">
        <v>6.0</v>
      </c>
      <c r="C12" s="76">
        <v>2.0</v>
      </c>
      <c r="D12" s="76">
        <v>2.0</v>
      </c>
      <c r="E12" s="76">
        <v>1.0</v>
      </c>
      <c r="G12" s="51">
        <f t="shared" ref="G12:G16" si="4">SUM(H12:K12)</f>
        <v>1</v>
      </c>
      <c r="H12" s="76">
        <v>1.0</v>
      </c>
      <c r="L12" s="104">
        <f t="shared" ref="L12:L16" si="5">SUM(E12:I12)/(B12-D12)</f>
        <v>0.75</v>
      </c>
      <c r="M12" s="53">
        <f t="shared" ref="M12:M16" si="6">(D12+sum(E12:I12))/B12</f>
        <v>0.8333333333</v>
      </c>
      <c r="N12" s="51">
        <f t="shared" ref="N12:N16" si="7">(C12*-1)+D12+(F12*2)+H12+(I12*2)+(J12*3)+(K12*4)</f>
        <v>1</v>
      </c>
    </row>
    <row r="13">
      <c r="A13" s="76" t="s">
        <v>26</v>
      </c>
      <c r="B13" s="84">
        <v>6.0</v>
      </c>
      <c r="C13" s="76">
        <v>3.0</v>
      </c>
      <c r="D13" s="76">
        <v>1.0</v>
      </c>
      <c r="F13" s="76">
        <v>1.0</v>
      </c>
      <c r="G13" s="51">
        <f t="shared" si="4"/>
        <v>2</v>
      </c>
      <c r="I13" s="76">
        <v>2.0</v>
      </c>
      <c r="L13" s="104">
        <f t="shared" si="5"/>
        <v>1</v>
      </c>
      <c r="M13" s="53">
        <f t="shared" si="6"/>
        <v>1</v>
      </c>
      <c r="N13" s="51">
        <f t="shared" si="7"/>
        <v>4</v>
      </c>
    </row>
    <row r="14">
      <c r="A14" s="90" t="s">
        <v>27</v>
      </c>
      <c r="B14" s="91">
        <v>5.0</v>
      </c>
      <c r="C14" s="90">
        <v>3.0</v>
      </c>
      <c r="D14" s="90"/>
      <c r="E14" s="90">
        <v>2.0</v>
      </c>
      <c r="F14" s="92"/>
      <c r="G14" s="51">
        <f t="shared" si="4"/>
        <v>0</v>
      </c>
      <c r="H14" s="92"/>
      <c r="I14" s="92"/>
      <c r="J14" s="92"/>
      <c r="K14" s="92"/>
      <c r="L14" s="110">
        <f t="shared" si="5"/>
        <v>0.4</v>
      </c>
      <c r="M14" s="111">
        <f t="shared" si="6"/>
        <v>0.4</v>
      </c>
      <c r="N14" s="51">
        <f t="shared" si="7"/>
        <v>-3</v>
      </c>
    </row>
    <row r="15">
      <c r="A15" s="76" t="s">
        <v>34</v>
      </c>
      <c r="B15" s="84">
        <v>8.0</v>
      </c>
      <c r="C15" s="76">
        <v>2.0</v>
      </c>
      <c r="D15" s="76">
        <v>1.0</v>
      </c>
      <c r="E15" s="76">
        <v>3.0</v>
      </c>
      <c r="G15" s="51">
        <f t="shared" si="4"/>
        <v>2</v>
      </c>
      <c r="H15" s="76"/>
      <c r="I15" s="76">
        <v>2.0</v>
      </c>
      <c r="L15" s="104">
        <f t="shared" si="5"/>
        <v>1</v>
      </c>
      <c r="M15" s="53">
        <f t="shared" si="6"/>
        <v>1</v>
      </c>
      <c r="N15" s="51">
        <f t="shared" si="7"/>
        <v>3</v>
      </c>
    </row>
    <row r="16">
      <c r="A16" s="76" t="s">
        <v>25</v>
      </c>
      <c r="B16" s="84">
        <v>8.0</v>
      </c>
      <c r="C16" s="76">
        <v>5.0</v>
      </c>
      <c r="D16" s="76">
        <v>1.0</v>
      </c>
      <c r="E16" s="76">
        <v>2.0</v>
      </c>
      <c r="G16" s="51">
        <f t="shared" si="4"/>
        <v>0</v>
      </c>
      <c r="L16" s="104">
        <f t="shared" si="5"/>
        <v>0.2857142857</v>
      </c>
      <c r="M16" s="53">
        <f t="shared" si="6"/>
        <v>0.375</v>
      </c>
      <c r="N16" s="51">
        <f t="shared" si="7"/>
        <v>-4</v>
      </c>
    </row>
    <row r="17" hidden="1">
      <c r="A17" s="29" t="s">
        <v>23</v>
      </c>
      <c r="B17" s="76"/>
      <c r="C17" s="76"/>
      <c r="D17" s="76"/>
      <c r="E17" s="76"/>
      <c r="L17" s="53"/>
      <c r="M17" s="53"/>
      <c r="N17" s="53"/>
    </row>
    <row r="18" hidden="1">
      <c r="A18" s="47" t="s">
        <v>28</v>
      </c>
      <c r="B18" s="76"/>
      <c r="C18" s="76"/>
      <c r="D18" s="76"/>
      <c r="E18" s="76"/>
      <c r="L18" s="53"/>
      <c r="M18" s="53"/>
      <c r="N18" s="53"/>
    </row>
    <row r="19" hidden="1">
      <c r="A19" s="47" t="s">
        <v>24</v>
      </c>
      <c r="B19" s="76"/>
      <c r="C19" s="76"/>
      <c r="D19" s="76"/>
      <c r="E19" s="76"/>
      <c r="L19" s="53"/>
      <c r="M19" s="53"/>
      <c r="N19" s="5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.13"/>
    <col customWidth="1" min="3" max="3" width="2.13"/>
    <col customWidth="1" min="4" max="4" width="3.25"/>
    <col customWidth="1" min="5" max="5" width="3.63"/>
    <col customWidth="1" min="6" max="6" width="3.75"/>
    <col customWidth="1" min="7" max="9" width="3.0"/>
    <col customWidth="1" min="10" max="11" width="4.5"/>
    <col customWidth="1" min="12" max="12" width="5.13"/>
    <col customWidth="1" min="13" max="14" width="5.38"/>
  </cols>
  <sheetData>
    <row r="1">
      <c r="A1" s="80">
        <v>44715.0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2"/>
      <c r="L1" s="81" t="s">
        <v>17</v>
      </c>
      <c r="M1" s="82" t="s">
        <v>18</v>
      </c>
      <c r="N1" s="99"/>
    </row>
    <row r="2">
      <c r="A2" s="76" t="s">
        <v>27</v>
      </c>
      <c r="B2" s="84">
        <v>2.0</v>
      </c>
      <c r="C2" s="76">
        <v>1.0</v>
      </c>
      <c r="D2" s="76">
        <v>2.0</v>
      </c>
      <c r="F2" s="51">
        <f t="shared" ref="F2:F7" si="1">sum(G2:J2)</f>
        <v>2</v>
      </c>
      <c r="G2" s="76">
        <v>1.0</v>
      </c>
      <c r="H2" s="76">
        <v>1.0</v>
      </c>
      <c r="L2" s="100">
        <f t="shared" ref="L2:L7" si="2"> 9*E2/B2</f>
        <v>0</v>
      </c>
      <c r="M2" s="51">
        <f t="shared" ref="M2:M7" si="3">(D2+F2)/B2</f>
        <v>2</v>
      </c>
    </row>
    <row r="3">
      <c r="A3" s="76" t="s">
        <v>25</v>
      </c>
      <c r="B3" s="84">
        <v>2.0</v>
      </c>
      <c r="C3" s="76">
        <v>4.0</v>
      </c>
      <c r="E3" s="76">
        <v>1.0</v>
      </c>
      <c r="F3" s="51">
        <f t="shared" si="1"/>
        <v>1</v>
      </c>
      <c r="J3" s="76">
        <v>1.0</v>
      </c>
      <c r="K3" s="76"/>
      <c r="L3" s="100">
        <f t="shared" si="2"/>
        <v>4.5</v>
      </c>
      <c r="M3" s="51">
        <f t="shared" si="3"/>
        <v>0.5</v>
      </c>
    </row>
    <row r="4">
      <c r="A4" s="76" t="s">
        <v>22</v>
      </c>
      <c r="B4" s="84">
        <v>2.0</v>
      </c>
      <c r="C4" s="76">
        <v>5.0</v>
      </c>
      <c r="D4" s="76">
        <v>2.0</v>
      </c>
      <c r="F4" s="51">
        <f t="shared" si="1"/>
        <v>0</v>
      </c>
      <c r="L4" s="100">
        <f t="shared" si="2"/>
        <v>0</v>
      </c>
      <c r="M4" s="51">
        <f t="shared" si="3"/>
        <v>1</v>
      </c>
    </row>
    <row r="5">
      <c r="A5" s="29" t="s">
        <v>23</v>
      </c>
      <c r="B5" s="84">
        <v>2.0</v>
      </c>
      <c r="F5" s="51">
        <f t="shared" si="1"/>
        <v>2</v>
      </c>
      <c r="G5" s="76">
        <v>1.0</v>
      </c>
      <c r="H5" s="76">
        <v>1.0</v>
      </c>
      <c r="L5" s="100">
        <f t="shared" si="2"/>
        <v>0</v>
      </c>
      <c r="M5" s="51">
        <f t="shared" si="3"/>
        <v>1</v>
      </c>
    </row>
    <row r="6">
      <c r="A6" s="76" t="s">
        <v>24</v>
      </c>
      <c r="B6" s="84">
        <v>2.0</v>
      </c>
      <c r="C6" s="76">
        <v>3.0</v>
      </c>
      <c r="D6" s="76">
        <v>1.0</v>
      </c>
      <c r="F6" s="51">
        <f t="shared" si="1"/>
        <v>1</v>
      </c>
      <c r="H6" s="76">
        <v>1.0</v>
      </c>
      <c r="L6" s="100">
        <f t="shared" si="2"/>
        <v>0</v>
      </c>
      <c r="M6" s="51">
        <f t="shared" si="3"/>
        <v>1</v>
      </c>
    </row>
    <row r="7">
      <c r="A7" s="76" t="s">
        <v>34</v>
      </c>
      <c r="B7" s="84">
        <v>2.0</v>
      </c>
      <c r="C7" s="76">
        <v>1.0</v>
      </c>
      <c r="D7" s="76">
        <v>4.0</v>
      </c>
      <c r="E7" s="76">
        <v>3.0</v>
      </c>
      <c r="F7" s="51">
        <f t="shared" si="1"/>
        <v>1</v>
      </c>
      <c r="I7" s="76"/>
      <c r="J7" s="76">
        <v>1.0</v>
      </c>
      <c r="K7" s="76"/>
      <c r="L7" s="100">
        <f t="shared" si="2"/>
        <v>13.5</v>
      </c>
      <c r="M7" s="51">
        <f t="shared" si="3"/>
        <v>2.5</v>
      </c>
    </row>
    <row r="8" hidden="1">
      <c r="A8" s="47" t="s">
        <v>28</v>
      </c>
      <c r="B8" s="76"/>
      <c r="C8" s="76"/>
      <c r="D8" s="76"/>
      <c r="E8" s="76"/>
      <c r="I8" s="76"/>
      <c r="J8" s="76"/>
      <c r="K8" s="76"/>
    </row>
    <row r="9" hidden="1">
      <c r="A9" s="76" t="s">
        <v>26</v>
      </c>
      <c r="B9" s="76"/>
      <c r="C9" s="76"/>
      <c r="D9" s="76"/>
      <c r="E9" s="76"/>
      <c r="I9" s="76"/>
      <c r="J9" s="76"/>
      <c r="K9" s="76"/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93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  <c r="N11" s="76"/>
    </row>
    <row r="12">
      <c r="A12" s="76" t="s">
        <v>27</v>
      </c>
      <c r="B12" s="84">
        <v>10.0</v>
      </c>
      <c r="C12" s="76">
        <v>2.0</v>
      </c>
      <c r="D12" s="76">
        <v>3.0</v>
      </c>
      <c r="E12" s="76">
        <v>4.0</v>
      </c>
      <c r="F12" s="76">
        <v>3.0</v>
      </c>
      <c r="G12" s="51">
        <f t="shared" ref="G12:G17" si="4">SUM(H12:K12)</f>
        <v>2</v>
      </c>
      <c r="I12" s="76">
        <v>1.0</v>
      </c>
      <c r="J12" s="76"/>
      <c r="K12" s="76">
        <v>1.0</v>
      </c>
      <c r="L12" s="104">
        <f t="shared" ref="L12:L17" si="5">SUM(E12:H12)/(B12-D12)</f>
        <v>1.285714286</v>
      </c>
      <c r="M12" s="53">
        <f t="shared" ref="M12:M17" si="6">(D12+sum(E12:H12))/B12</f>
        <v>1.2</v>
      </c>
      <c r="N12" s="51">
        <f t="shared" ref="N12:N17" si="7">(C12*-1)+D12+(F12*2)+H12+(I12*2)+(J12*3)+(K12*4)</f>
        <v>13</v>
      </c>
    </row>
    <row r="13">
      <c r="A13" s="76" t="s">
        <v>25</v>
      </c>
      <c r="B13" s="84">
        <v>10.0</v>
      </c>
      <c r="C13" s="76">
        <v>4.0</v>
      </c>
      <c r="D13" s="76">
        <v>3.0</v>
      </c>
      <c r="E13" s="76">
        <v>3.0</v>
      </c>
      <c r="G13" s="51">
        <f t="shared" si="4"/>
        <v>0</v>
      </c>
      <c r="L13" s="104">
        <f t="shared" si="5"/>
        <v>0.4285714286</v>
      </c>
      <c r="M13" s="53">
        <f t="shared" si="6"/>
        <v>0.6</v>
      </c>
      <c r="N13" s="51">
        <f t="shared" si="7"/>
        <v>-1</v>
      </c>
    </row>
    <row r="14">
      <c r="A14" s="76" t="s">
        <v>22</v>
      </c>
      <c r="B14" s="84">
        <v>9.0</v>
      </c>
      <c r="D14" s="76">
        <v>2.0</v>
      </c>
      <c r="E14" s="76">
        <v>5.0</v>
      </c>
      <c r="G14" s="51">
        <f t="shared" si="4"/>
        <v>2</v>
      </c>
      <c r="H14" s="76">
        <v>1.0</v>
      </c>
      <c r="I14" s="76">
        <v>1.0</v>
      </c>
      <c r="L14" s="104">
        <f t="shared" si="5"/>
        <v>1.142857143</v>
      </c>
      <c r="M14" s="53">
        <f t="shared" si="6"/>
        <v>1.111111111</v>
      </c>
      <c r="N14" s="51">
        <f t="shared" si="7"/>
        <v>5</v>
      </c>
    </row>
    <row r="15">
      <c r="A15" s="76" t="s">
        <v>23</v>
      </c>
      <c r="B15" s="84">
        <v>9.0</v>
      </c>
      <c r="C15" s="76">
        <v>2.0</v>
      </c>
      <c r="D15" s="76">
        <v>1.0</v>
      </c>
      <c r="E15" s="76">
        <v>5.0</v>
      </c>
      <c r="G15" s="51">
        <f t="shared" si="4"/>
        <v>1</v>
      </c>
      <c r="H15" s="76">
        <v>1.0</v>
      </c>
      <c r="L15" s="104">
        <f t="shared" si="5"/>
        <v>0.875</v>
      </c>
      <c r="M15" s="53">
        <f t="shared" si="6"/>
        <v>0.8888888889</v>
      </c>
      <c r="N15" s="51">
        <f t="shared" si="7"/>
        <v>0</v>
      </c>
    </row>
    <row r="16">
      <c r="A16" s="76" t="s">
        <v>24</v>
      </c>
      <c r="B16" s="84">
        <v>8.0</v>
      </c>
      <c r="C16" s="76">
        <v>3.0</v>
      </c>
      <c r="D16" s="76">
        <v>2.0</v>
      </c>
      <c r="G16" s="51">
        <f t="shared" si="4"/>
        <v>1</v>
      </c>
      <c r="I16" s="76">
        <v>1.0</v>
      </c>
      <c r="L16" s="104">
        <f t="shared" si="5"/>
        <v>0.1666666667</v>
      </c>
      <c r="M16" s="53">
        <f t="shared" si="6"/>
        <v>0.375</v>
      </c>
      <c r="N16" s="51">
        <f t="shared" si="7"/>
        <v>1</v>
      </c>
    </row>
    <row r="17">
      <c r="A17" s="76" t="s">
        <v>34</v>
      </c>
      <c r="B17" s="84">
        <v>8.0</v>
      </c>
      <c r="C17" s="76">
        <v>2.0</v>
      </c>
      <c r="D17" s="76">
        <v>3.0</v>
      </c>
      <c r="E17" s="76">
        <v>3.0</v>
      </c>
      <c r="F17" s="76">
        <v>1.0</v>
      </c>
      <c r="G17" s="51">
        <f t="shared" si="4"/>
        <v>1</v>
      </c>
      <c r="K17" s="76">
        <v>1.0</v>
      </c>
      <c r="L17" s="104">
        <f t="shared" si="5"/>
        <v>1</v>
      </c>
      <c r="M17" s="53">
        <f t="shared" si="6"/>
        <v>1</v>
      </c>
      <c r="N17" s="51">
        <f t="shared" si="7"/>
        <v>7</v>
      </c>
    </row>
    <row r="18" hidden="1">
      <c r="A18" s="47" t="s">
        <v>28</v>
      </c>
      <c r="B18" s="100"/>
      <c r="L18" s="100"/>
    </row>
    <row r="19" hidden="1">
      <c r="A19" s="76" t="s">
        <v>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.13"/>
    <col customWidth="1" min="3" max="3" width="2.13"/>
    <col customWidth="1" min="4" max="4" width="3.25"/>
    <col customWidth="1" min="5" max="6" width="3.38"/>
    <col customWidth="1" min="7" max="7" width="3.0"/>
    <col customWidth="1" min="8" max="8" width="3.38"/>
    <col customWidth="1" min="9" max="9" width="3.63"/>
    <col customWidth="1" min="10" max="11" width="4.5"/>
    <col customWidth="1" min="12" max="14" width="6.5"/>
  </cols>
  <sheetData>
    <row r="1">
      <c r="A1" s="80">
        <v>44711.0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2"/>
      <c r="L1" s="81" t="s">
        <v>17</v>
      </c>
      <c r="M1" s="82" t="s">
        <v>18</v>
      </c>
      <c r="N1" s="99"/>
    </row>
    <row r="2">
      <c r="A2" s="76" t="s">
        <v>34</v>
      </c>
      <c r="B2" s="84">
        <v>2.0</v>
      </c>
      <c r="C2" s="76">
        <v>1.0</v>
      </c>
      <c r="F2" s="51">
        <f t="shared" ref="F2:F7" si="1">sum(G2:J2)</f>
        <v>5</v>
      </c>
      <c r="G2" s="76">
        <v>5.0</v>
      </c>
      <c r="L2" s="100">
        <f t="shared" ref="L2:L7" si="2"> 9*E2/B2</f>
        <v>0</v>
      </c>
      <c r="M2" s="51">
        <f t="shared" ref="M2:M7" si="3">(D2+F2)/B2</f>
        <v>2.5</v>
      </c>
    </row>
    <row r="3">
      <c r="A3" s="76" t="s">
        <v>22</v>
      </c>
      <c r="B3" s="84">
        <v>1.0</v>
      </c>
      <c r="C3" s="76">
        <v>2.0</v>
      </c>
      <c r="D3" s="76">
        <v>2.0</v>
      </c>
      <c r="F3" s="51">
        <f t="shared" si="1"/>
        <v>0</v>
      </c>
      <c r="L3" s="100">
        <f t="shared" si="2"/>
        <v>0</v>
      </c>
      <c r="M3" s="51">
        <f t="shared" si="3"/>
        <v>2</v>
      </c>
    </row>
    <row r="4">
      <c r="A4" s="76" t="s">
        <v>24</v>
      </c>
      <c r="B4" s="84">
        <v>2.0</v>
      </c>
      <c r="C4" s="76">
        <v>1.0</v>
      </c>
      <c r="E4" s="76">
        <v>1.0</v>
      </c>
      <c r="F4" s="51">
        <f t="shared" si="1"/>
        <v>2</v>
      </c>
      <c r="H4" s="76">
        <v>2.0</v>
      </c>
      <c r="L4" s="100">
        <f t="shared" si="2"/>
        <v>4.5</v>
      </c>
      <c r="M4" s="51">
        <f t="shared" si="3"/>
        <v>1</v>
      </c>
    </row>
    <row r="5">
      <c r="A5" s="76" t="s">
        <v>25</v>
      </c>
      <c r="B5" s="84">
        <v>2.0</v>
      </c>
      <c r="C5" s="76">
        <v>2.0</v>
      </c>
      <c r="F5" s="51">
        <f t="shared" si="1"/>
        <v>0</v>
      </c>
      <c r="L5" s="100">
        <f t="shared" si="2"/>
        <v>0</v>
      </c>
      <c r="M5" s="51">
        <f t="shared" si="3"/>
        <v>0</v>
      </c>
    </row>
    <row r="6">
      <c r="A6" s="76" t="s">
        <v>26</v>
      </c>
      <c r="B6" s="84">
        <v>1.0</v>
      </c>
      <c r="C6" s="76">
        <v>2.0</v>
      </c>
      <c r="D6" s="76">
        <v>1.0</v>
      </c>
      <c r="E6" s="76">
        <v>2.0</v>
      </c>
      <c r="F6" s="51">
        <f t="shared" si="1"/>
        <v>4</v>
      </c>
      <c r="G6" s="76">
        <v>4.0</v>
      </c>
      <c r="L6" s="100">
        <f t="shared" si="2"/>
        <v>18</v>
      </c>
      <c r="M6" s="51">
        <f t="shared" si="3"/>
        <v>5</v>
      </c>
    </row>
    <row r="7">
      <c r="A7" s="76" t="s">
        <v>35</v>
      </c>
      <c r="B7" s="84">
        <v>2.0</v>
      </c>
      <c r="D7" s="76">
        <v>1.0</v>
      </c>
      <c r="F7" s="51">
        <f t="shared" si="1"/>
        <v>2</v>
      </c>
      <c r="G7" s="76">
        <v>1.0</v>
      </c>
      <c r="H7" s="76">
        <v>1.0</v>
      </c>
      <c r="L7" s="100">
        <f t="shared" si="2"/>
        <v>0</v>
      </c>
      <c r="M7" s="51">
        <f t="shared" si="3"/>
        <v>1.5</v>
      </c>
    </row>
    <row r="8" hidden="1">
      <c r="A8" s="29" t="s">
        <v>23</v>
      </c>
      <c r="B8" s="76"/>
      <c r="D8" s="76"/>
      <c r="G8" s="76"/>
      <c r="H8" s="76"/>
    </row>
    <row r="9" hidden="1">
      <c r="A9" s="47" t="s">
        <v>27</v>
      </c>
      <c r="B9" s="76"/>
      <c r="D9" s="76"/>
      <c r="G9" s="76"/>
      <c r="H9" s="76"/>
    </row>
    <row r="10" hidden="1">
      <c r="A10" s="47" t="s">
        <v>28</v>
      </c>
      <c r="B10" s="76"/>
      <c r="D10" s="76"/>
      <c r="G10" s="76"/>
      <c r="H10" s="76"/>
    </row>
    <row r="11" ht="10.5" customHeight="1">
      <c r="A11" s="106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</row>
    <row r="12">
      <c r="A12" s="80"/>
      <c r="B12" s="94" t="s">
        <v>4</v>
      </c>
      <c r="C12" s="93" t="s">
        <v>6</v>
      </c>
      <c r="D12" s="93" t="s">
        <v>7</v>
      </c>
      <c r="E12" s="93" t="s">
        <v>37</v>
      </c>
      <c r="F12" s="93" t="s">
        <v>8</v>
      </c>
      <c r="G12" s="76" t="s">
        <v>5</v>
      </c>
      <c r="H12" s="93" t="s">
        <v>38</v>
      </c>
      <c r="I12" s="93" t="s">
        <v>39</v>
      </c>
      <c r="J12" s="93" t="s">
        <v>40</v>
      </c>
      <c r="K12" s="93" t="s">
        <v>41</v>
      </c>
      <c r="L12" s="94" t="s">
        <v>9</v>
      </c>
      <c r="M12" s="93" t="s">
        <v>42</v>
      </c>
      <c r="N12" s="76"/>
    </row>
    <row r="13">
      <c r="A13" s="76" t="s">
        <v>34</v>
      </c>
      <c r="B13" s="84">
        <v>5.0</v>
      </c>
      <c r="C13" s="76">
        <v>1.0</v>
      </c>
      <c r="D13" s="76">
        <v>1.0</v>
      </c>
      <c r="E13" s="76">
        <v>2.0</v>
      </c>
      <c r="F13" s="76">
        <v>1.0</v>
      </c>
      <c r="G13" s="51">
        <f t="shared" ref="G13:G18" si="4">SUM(H13:K13)</f>
        <v>1</v>
      </c>
      <c r="I13" s="76">
        <v>1.0</v>
      </c>
      <c r="L13" s="104">
        <f t="shared" ref="L13:L18" si="5">SUM(E13:I13)/(B13-D13)</f>
        <v>1.25</v>
      </c>
      <c r="M13" s="53">
        <f t="shared" ref="M13:M18" si="6">(D13+sum(E13:I13))/B13</f>
        <v>1.2</v>
      </c>
      <c r="N13" s="51">
        <f t="shared" ref="N13:N18" si="7">(C13*-1)+D13+(F13*2)+H13+(I13*2)+(J13*3)+(K13*4)</f>
        <v>4</v>
      </c>
    </row>
    <row r="14">
      <c r="A14" s="76" t="s">
        <v>22</v>
      </c>
      <c r="B14" s="84">
        <v>7.0</v>
      </c>
      <c r="C14" s="76"/>
      <c r="E14" s="76">
        <v>2.0</v>
      </c>
      <c r="F14" s="76">
        <v>1.0</v>
      </c>
      <c r="G14" s="51">
        <f t="shared" si="4"/>
        <v>5</v>
      </c>
      <c r="H14" s="76">
        <v>5.0</v>
      </c>
      <c r="L14" s="104">
        <f t="shared" si="5"/>
        <v>1.857142857</v>
      </c>
      <c r="M14" s="53">
        <f t="shared" si="6"/>
        <v>1.857142857</v>
      </c>
      <c r="N14" s="51">
        <f t="shared" si="7"/>
        <v>7</v>
      </c>
    </row>
    <row r="15">
      <c r="A15" s="76" t="s">
        <v>24</v>
      </c>
      <c r="B15" s="84">
        <v>8.0</v>
      </c>
      <c r="C15" s="76">
        <v>1.0</v>
      </c>
      <c r="D15" s="76">
        <v>1.0</v>
      </c>
      <c r="E15" s="76">
        <v>2.0</v>
      </c>
      <c r="F15" s="76">
        <v>1.0</v>
      </c>
      <c r="G15" s="51">
        <f t="shared" si="4"/>
        <v>4</v>
      </c>
      <c r="H15" s="76">
        <v>4.0</v>
      </c>
      <c r="L15" s="104">
        <f t="shared" si="5"/>
        <v>1.571428571</v>
      </c>
      <c r="M15" s="53">
        <f t="shared" si="6"/>
        <v>1.5</v>
      </c>
      <c r="N15" s="51">
        <f t="shared" si="7"/>
        <v>6</v>
      </c>
    </row>
    <row r="16">
      <c r="A16" s="76" t="s">
        <v>25</v>
      </c>
      <c r="B16" s="84">
        <v>8.0</v>
      </c>
      <c r="C16" s="76">
        <v>2.0</v>
      </c>
      <c r="D16" s="76">
        <v>1.0</v>
      </c>
      <c r="E16" s="76">
        <v>3.0</v>
      </c>
      <c r="G16" s="51">
        <f t="shared" si="4"/>
        <v>2</v>
      </c>
      <c r="H16" s="76">
        <v>1.0</v>
      </c>
      <c r="I16" s="76">
        <v>1.0</v>
      </c>
      <c r="L16" s="104">
        <f t="shared" si="5"/>
        <v>1</v>
      </c>
      <c r="M16" s="53">
        <f t="shared" si="6"/>
        <v>1</v>
      </c>
      <c r="N16" s="51">
        <f t="shared" si="7"/>
        <v>2</v>
      </c>
    </row>
    <row r="17">
      <c r="A17" s="76" t="s">
        <v>26</v>
      </c>
      <c r="B17" s="84">
        <v>6.0</v>
      </c>
      <c r="C17" s="76">
        <v>1.0</v>
      </c>
      <c r="D17" s="76">
        <v>1.0</v>
      </c>
      <c r="E17" s="76">
        <v>3.0</v>
      </c>
      <c r="G17" s="51">
        <f t="shared" si="4"/>
        <v>1</v>
      </c>
      <c r="I17" s="76">
        <v>1.0</v>
      </c>
      <c r="L17" s="104">
        <f t="shared" si="5"/>
        <v>1</v>
      </c>
      <c r="M17" s="53">
        <f t="shared" si="6"/>
        <v>1</v>
      </c>
      <c r="N17" s="51">
        <f t="shared" si="7"/>
        <v>2</v>
      </c>
    </row>
    <row r="18">
      <c r="A18" s="76" t="s">
        <v>35</v>
      </c>
      <c r="B18" s="84">
        <v>5.0</v>
      </c>
      <c r="C18" s="76">
        <v>3.0</v>
      </c>
      <c r="D18" s="76">
        <v>1.0</v>
      </c>
      <c r="E18" s="76">
        <v>1.0</v>
      </c>
      <c r="G18" s="51">
        <f t="shared" si="4"/>
        <v>0</v>
      </c>
      <c r="L18" s="104">
        <f t="shared" si="5"/>
        <v>0.25</v>
      </c>
      <c r="M18" s="53">
        <f t="shared" si="6"/>
        <v>0.4</v>
      </c>
      <c r="N18" s="51">
        <f t="shared" si="7"/>
        <v>-2</v>
      </c>
    </row>
    <row r="19" hidden="1">
      <c r="A19" s="29" t="s">
        <v>23</v>
      </c>
      <c r="B19" s="100"/>
      <c r="L19" s="100"/>
    </row>
    <row r="20" hidden="1">
      <c r="A20" s="47" t="s">
        <v>27</v>
      </c>
    </row>
    <row r="21" hidden="1">
      <c r="A21" s="47" t="s">
        <v>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.13"/>
    <col customWidth="1" min="3" max="3" width="2.13"/>
    <col customWidth="1" min="4" max="4" width="3.25"/>
    <col customWidth="1" min="5" max="6" width="3.38"/>
    <col customWidth="1" min="7" max="7" width="3.0"/>
    <col customWidth="1" min="8" max="8" width="3.38"/>
    <col customWidth="1" min="9" max="9" width="3.63"/>
    <col customWidth="1" min="10" max="11" width="4.5"/>
    <col customWidth="1" min="12" max="14" width="4.88"/>
  </cols>
  <sheetData>
    <row r="1">
      <c r="A1" s="80">
        <v>44708.0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2"/>
      <c r="L1" s="81" t="s">
        <v>17</v>
      </c>
      <c r="M1" s="82" t="s">
        <v>18</v>
      </c>
      <c r="N1" s="99"/>
    </row>
    <row r="2">
      <c r="A2" s="76" t="s">
        <v>22</v>
      </c>
      <c r="B2" s="84">
        <v>2.0</v>
      </c>
      <c r="C2" s="76">
        <v>3.0</v>
      </c>
      <c r="F2" s="51">
        <f t="shared" ref="F2:F5" si="1">sum(G2:J2)</f>
        <v>2</v>
      </c>
      <c r="H2" s="76">
        <v>2.0</v>
      </c>
      <c r="L2" s="100">
        <f t="shared" ref="L2:L5" si="2"> 9*E2/B2</f>
        <v>0</v>
      </c>
      <c r="M2" s="51">
        <f t="shared" ref="M2:M5" si="3">(D2+F2)/B2</f>
        <v>1</v>
      </c>
    </row>
    <row r="3">
      <c r="A3" s="76" t="s">
        <v>25</v>
      </c>
      <c r="B3" s="84">
        <v>1.0</v>
      </c>
      <c r="C3" s="76">
        <v>2.0</v>
      </c>
      <c r="D3" s="76">
        <v>1.0</v>
      </c>
      <c r="F3" s="51">
        <f t="shared" si="1"/>
        <v>2</v>
      </c>
      <c r="G3" s="76">
        <v>2.0</v>
      </c>
      <c r="L3" s="100">
        <f t="shared" si="2"/>
        <v>0</v>
      </c>
      <c r="M3" s="51">
        <f t="shared" si="3"/>
        <v>3</v>
      </c>
    </row>
    <row r="4">
      <c r="A4" s="76" t="s">
        <v>26</v>
      </c>
      <c r="B4" s="84">
        <v>1.0</v>
      </c>
      <c r="C4" s="76">
        <v>3.0</v>
      </c>
      <c r="F4" s="51">
        <f t="shared" si="1"/>
        <v>0</v>
      </c>
      <c r="L4" s="100">
        <f t="shared" si="2"/>
        <v>0</v>
      </c>
      <c r="M4" s="51">
        <f t="shared" si="3"/>
        <v>0</v>
      </c>
    </row>
    <row r="5">
      <c r="A5" s="76" t="s">
        <v>34</v>
      </c>
      <c r="B5" s="84">
        <v>2.0</v>
      </c>
      <c r="C5" s="76">
        <v>3.0</v>
      </c>
      <c r="F5" s="51">
        <f t="shared" si="1"/>
        <v>1</v>
      </c>
      <c r="H5" s="76">
        <v>1.0</v>
      </c>
      <c r="L5" s="100">
        <f t="shared" si="2"/>
        <v>0</v>
      </c>
      <c r="M5" s="51">
        <f t="shared" si="3"/>
        <v>0.5</v>
      </c>
    </row>
    <row r="6" hidden="1">
      <c r="A6" s="29" t="s">
        <v>23</v>
      </c>
    </row>
    <row r="7" hidden="1">
      <c r="A7" s="47" t="s">
        <v>27</v>
      </c>
      <c r="B7" s="76"/>
      <c r="C7" s="76"/>
      <c r="D7" s="76"/>
      <c r="E7" s="76"/>
      <c r="F7" s="76"/>
      <c r="G7" s="76"/>
      <c r="H7" s="76"/>
      <c r="I7" s="76"/>
      <c r="J7" s="76"/>
      <c r="K7" s="76"/>
    </row>
    <row r="8" hidden="1">
      <c r="A8" s="47" t="s">
        <v>28</v>
      </c>
      <c r="B8" s="76"/>
      <c r="C8" s="76"/>
      <c r="D8" s="76"/>
      <c r="E8" s="76"/>
      <c r="F8" s="76"/>
      <c r="G8" s="76"/>
      <c r="H8" s="76"/>
      <c r="I8" s="76"/>
      <c r="J8" s="76"/>
      <c r="K8" s="76"/>
    </row>
    <row r="9" hidden="1">
      <c r="A9" s="47" t="s">
        <v>24</v>
      </c>
      <c r="B9" s="76"/>
      <c r="C9" s="76"/>
      <c r="D9" s="76"/>
      <c r="E9" s="76"/>
      <c r="F9" s="76"/>
      <c r="G9" s="76"/>
      <c r="H9" s="76"/>
      <c r="I9" s="76"/>
      <c r="J9" s="76"/>
      <c r="K9" s="76"/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76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  <c r="N11" s="76"/>
    </row>
    <row r="12">
      <c r="A12" s="76" t="s">
        <v>22</v>
      </c>
      <c r="B12" s="84">
        <v>5.0</v>
      </c>
      <c r="C12" s="76">
        <v>3.0</v>
      </c>
      <c r="E12" s="76">
        <v>1.0</v>
      </c>
      <c r="G12" s="51">
        <f t="shared" ref="G12:G15" si="4">SUM(H12:K12)</f>
        <v>1</v>
      </c>
      <c r="I12" s="76">
        <v>1.0</v>
      </c>
      <c r="L12" s="104">
        <f t="shared" ref="L12:L15" si="5">SUM(E12:I12)/(B12-D12)</f>
        <v>0.6</v>
      </c>
      <c r="M12" s="53">
        <f t="shared" ref="M12:M15" si="6">(D12+sum(E12:I12))/B12</f>
        <v>0.6</v>
      </c>
      <c r="N12" s="51">
        <f t="shared" ref="N12:N15" si="7">(C12*-1)+D12+(F12*2)+H12+(I12*2)+(J12*3)+(K12*4)</f>
        <v>-1</v>
      </c>
    </row>
    <row r="13">
      <c r="A13" s="76" t="s">
        <v>25</v>
      </c>
      <c r="B13" s="84">
        <v>5.0</v>
      </c>
      <c r="C13" s="76">
        <v>3.0</v>
      </c>
      <c r="E13" s="76">
        <v>2.0</v>
      </c>
      <c r="G13" s="51">
        <f t="shared" si="4"/>
        <v>0</v>
      </c>
      <c r="L13" s="104">
        <f t="shared" si="5"/>
        <v>0.4</v>
      </c>
      <c r="M13" s="53">
        <f t="shared" si="6"/>
        <v>0.4</v>
      </c>
      <c r="N13" s="51">
        <f t="shared" si="7"/>
        <v>-3</v>
      </c>
    </row>
    <row r="14">
      <c r="A14" s="76" t="s">
        <v>26</v>
      </c>
      <c r="B14" s="84">
        <v>6.0</v>
      </c>
      <c r="C14" s="76">
        <v>2.0</v>
      </c>
      <c r="E14" s="76">
        <v>3.0</v>
      </c>
      <c r="G14" s="51">
        <f t="shared" si="4"/>
        <v>1</v>
      </c>
      <c r="H14" s="76">
        <v>1.0</v>
      </c>
      <c r="L14" s="104">
        <f t="shared" si="5"/>
        <v>0.8333333333</v>
      </c>
      <c r="M14" s="53">
        <f t="shared" si="6"/>
        <v>0.8333333333</v>
      </c>
      <c r="N14" s="51">
        <f t="shared" si="7"/>
        <v>-1</v>
      </c>
    </row>
    <row r="15">
      <c r="A15" s="76" t="s">
        <v>34</v>
      </c>
      <c r="B15" s="84">
        <v>7.0</v>
      </c>
      <c r="C15" s="76">
        <v>2.0</v>
      </c>
      <c r="D15" s="76">
        <v>1.0</v>
      </c>
      <c r="E15" s="76">
        <v>1.0</v>
      </c>
      <c r="G15" s="51">
        <f t="shared" si="4"/>
        <v>3</v>
      </c>
      <c r="H15" s="76">
        <v>1.0</v>
      </c>
      <c r="I15" s="76">
        <v>2.0</v>
      </c>
      <c r="L15" s="104">
        <f t="shared" si="5"/>
        <v>1.166666667</v>
      </c>
      <c r="M15" s="53">
        <f t="shared" si="6"/>
        <v>1.142857143</v>
      </c>
      <c r="N15" s="51">
        <f t="shared" si="7"/>
        <v>4</v>
      </c>
    </row>
    <row r="16">
      <c r="A16" s="29" t="s">
        <v>23</v>
      </c>
      <c r="B16" s="100"/>
      <c r="L16" s="100"/>
    </row>
    <row r="17">
      <c r="A17" s="41" t="s">
        <v>27</v>
      </c>
    </row>
    <row r="18">
      <c r="A18" s="47" t="s">
        <v>28</v>
      </c>
    </row>
    <row r="19">
      <c r="A19" s="47" t="s">
        <v>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.13"/>
    <col customWidth="1" min="3" max="3" width="2.13"/>
    <col customWidth="1" min="4" max="4" width="3.25"/>
    <col customWidth="1" min="5" max="5" width="3.63"/>
    <col customWidth="1" min="6" max="6" width="3.75"/>
    <col customWidth="1" min="7" max="9" width="3.0"/>
    <col customWidth="1" min="10" max="10" width="4.5"/>
    <col customWidth="1" min="11" max="11" width="2.25"/>
    <col customWidth="1" min="12" max="12" width="5.13"/>
    <col customWidth="1" min="13" max="13" width="5.38"/>
    <col customWidth="1" min="14" max="14" width="11.75"/>
  </cols>
  <sheetData>
    <row r="1">
      <c r="A1" s="80">
        <v>44707.0</v>
      </c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3"/>
      <c r="L1" s="81" t="s">
        <v>17</v>
      </c>
      <c r="M1" s="82" t="s">
        <v>18</v>
      </c>
      <c r="N1" s="99" t="s">
        <v>43</v>
      </c>
    </row>
    <row r="2">
      <c r="A2" s="76" t="s">
        <v>34</v>
      </c>
      <c r="B2" s="84">
        <v>2.0</v>
      </c>
      <c r="C2" s="76">
        <v>4.0</v>
      </c>
      <c r="F2" s="76">
        <f t="shared" ref="F2:F5" si="1">sum(G2:J2)</f>
        <v>1</v>
      </c>
      <c r="G2" s="76">
        <v>1.0</v>
      </c>
      <c r="K2" s="85"/>
      <c r="L2" s="100">
        <f t="shared" ref="L2:L5" si="2"> 9*E2/B2</f>
        <v>0</v>
      </c>
      <c r="M2" s="51">
        <f t="shared" ref="M2:M5" si="3">(D2+F2)/B2</f>
        <v>0.5</v>
      </c>
      <c r="N2" s="51">
        <f t="shared" ref="N2:N9" si="4">(F2*-1)+(E2*-2)+(D2*-1)+C2</f>
        <v>3</v>
      </c>
    </row>
    <row r="3">
      <c r="A3" s="76" t="s">
        <v>22</v>
      </c>
      <c r="B3" s="84">
        <v>2.0</v>
      </c>
      <c r="C3" s="76">
        <v>2.0</v>
      </c>
      <c r="F3" s="76">
        <f t="shared" si="1"/>
        <v>2</v>
      </c>
      <c r="G3" s="76">
        <v>1.0</v>
      </c>
      <c r="H3" s="76">
        <v>1.0</v>
      </c>
      <c r="K3" s="85"/>
      <c r="L3" s="100">
        <f t="shared" si="2"/>
        <v>0</v>
      </c>
      <c r="M3" s="51">
        <f t="shared" si="3"/>
        <v>1</v>
      </c>
      <c r="N3" s="51">
        <f t="shared" si="4"/>
        <v>0</v>
      </c>
    </row>
    <row r="4">
      <c r="A4" s="76" t="s">
        <v>24</v>
      </c>
      <c r="B4" s="84">
        <v>2.0</v>
      </c>
      <c r="D4" s="76">
        <v>1.0</v>
      </c>
      <c r="E4" s="76">
        <v>1.0</v>
      </c>
      <c r="F4" s="76">
        <f t="shared" si="1"/>
        <v>4</v>
      </c>
      <c r="G4" s="76">
        <v>1.0</v>
      </c>
      <c r="H4" s="76">
        <v>3.0</v>
      </c>
      <c r="K4" s="85"/>
      <c r="L4" s="100">
        <f t="shared" si="2"/>
        <v>4.5</v>
      </c>
      <c r="M4" s="51">
        <f t="shared" si="3"/>
        <v>2.5</v>
      </c>
      <c r="N4" s="51">
        <f t="shared" si="4"/>
        <v>-7</v>
      </c>
    </row>
    <row r="5">
      <c r="A5" s="29" t="s">
        <v>23</v>
      </c>
      <c r="B5" s="84">
        <v>1.0</v>
      </c>
      <c r="F5" s="76">
        <f t="shared" si="1"/>
        <v>2</v>
      </c>
      <c r="G5" s="76">
        <v>1.0</v>
      </c>
      <c r="H5" s="76">
        <v>1.0</v>
      </c>
      <c r="K5" s="85"/>
      <c r="L5" s="100">
        <f t="shared" si="2"/>
        <v>0</v>
      </c>
      <c r="M5" s="51">
        <f t="shared" si="3"/>
        <v>2</v>
      </c>
      <c r="N5" s="51">
        <f t="shared" si="4"/>
        <v>-2</v>
      </c>
    </row>
    <row r="6" hidden="1">
      <c r="A6" s="29" t="s">
        <v>25</v>
      </c>
      <c r="B6" s="76"/>
      <c r="F6" s="76"/>
      <c r="G6" s="76"/>
      <c r="H6" s="76"/>
      <c r="K6" s="85"/>
      <c r="N6" s="51">
        <f t="shared" si="4"/>
        <v>0</v>
      </c>
    </row>
    <row r="7" hidden="1">
      <c r="A7" s="29" t="s">
        <v>26</v>
      </c>
      <c r="B7" s="76"/>
      <c r="F7" s="76"/>
      <c r="G7" s="76"/>
      <c r="H7" s="76"/>
      <c r="K7" s="85"/>
      <c r="N7" s="51">
        <f t="shared" si="4"/>
        <v>0</v>
      </c>
    </row>
    <row r="8" hidden="1">
      <c r="A8" s="41" t="s">
        <v>27</v>
      </c>
      <c r="B8" s="76"/>
      <c r="F8" s="76"/>
      <c r="G8" s="76"/>
      <c r="H8" s="76"/>
      <c r="K8" s="85"/>
      <c r="N8" s="51">
        <f t="shared" si="4"/>
        <v>0</v>
      </c>
    </row>
    <row r="9" hidden="1">
      <c r="A9" s="47" t="s">
        <v>28</v>
      </c>
      <c r="B9" s="76"/>
      <c r="F9" s="76"/>
      <c r="G9" s="76"/>
      <c r="H9" s="76"/>
      <c r="K9" s="85"/>
      <c r="N9" s="51">
        <f t="shared" si="4"/>
        <v>0</v>
      </c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93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</row>
    <row r="12">
      <c r="A12" s="76" t="s">
        <v>24</v>
      </c>
      <c r="B12" s="84">
        <v>7.0</v>
      </c>
      <c r="C12" s="76">
        <v>2.0</v>
      </c>
      <c r="E12" s="76">
        <v>4.0</v>
      </c>
      <c r="G12" s="76">
        <f t="shared" ref="G12:G15" si="5">SUM(H12:K12)</f>
        <v>2</v>
      </c>
      <c r="H12" s="76">
        <v>2.0</v>
      </c>
      <c r="L12" s="104">
        <f t="shared" ref="L12:L15" si="6">SUM(E12:H12)/(B12-D12)</f>
        <v>1.142857143</v>
      </c>
      <c r="M12" s="53">
        <f t="shared" ref="M12:M15" si="7">(D12+sum(E12:H12))/B12</f>
        <v>1.142857143</v>
      </c>
      <c r="N12" s="51">
        <f t="shared" ref="N12:N15" si="8">(C12*-1)+D12+(F12*2)+H12+(I12*2)+(J12*3)+(K12*4)</f>
        <v>0</v>
      </c>
    </row>
    <row r="13">
      <c r="A13" s="76" t="s">
        <v>23</v>
      </c>
      <c r="B13" s="84">
        <v>10.0</v>
      </c>
      <c r="C13" s="76">
        <v>1.0</v>
      </c>
      <c r="E13" s="76">
        <v>4.0</v>
      </c>
      <c r="F13" s="76">
        <v>1.0</v>
      </c>
      <c r="G13" s="76">
        <f t="shared" si="5"/>
        <v>3</v>
      </c>
      <c r="H13" s="76">
        <v>1.0</v>
      </c>
      <c r="I13" s="76">
        <v>2.0</v>
      </c>
      <c r="L13" s="104">
        <f t="shared" si="6"/>
        <v>0.9</v>
      </c>
      <c r="M13" s="53">
        <f t="shared" si="7"/>
        <v>0.9</v>
      </c>
      <c r="N13" s="51">
        <f t="shared" si="8"/>
        <v>6</v>
      </c>
    </row>
    <row r="14">
      <c r="A14" s="76" t="s">
        <v>22</v>
      </c>
      <c r="B14" s="84">
        <v>7.0</v>
      </c>
      <c r="C14" s="76">
        <v>2.0</v>
      </c>
      <c r="E14" s="76">
        <v>4.0</v>
      </c>
      <c r="G14" s="76">
        <f t="shared" si="5"/>
        <v>1</v>
      </c>
      <c r="I14" s="76">
        <v>1.0</v>
      </c>
      <c r="L14" s="104">
        <f t="shared" si="6"/>
        <v>0.7142857143</v>
      </c>
      <c r="M14" s="53">
        <f t="shared" si="7"/>
        <v>0.7142857143</v>
      </c>
      <c r="N14" s="51">
        <f t="shared" si="8"/>
        <v>0</v>
      </c>
    </row>
    <row r="15">
      <c r="A15" s="76" t="s">
        <v>34</v>
      </c>
      <c r="B15" s="84">
        <v>10.0</v>
      </c>
      <c r="C15" s="76">
        <v>1.0</v>
      </c>
      <c r="D15" s="76">
        <v>1.0</v>
      </c>
      <c r="E15" s="76">
        <v>3.0</v>
      </c>
      <c r="G15" s="76">
        <f t="shared" si="5"/>
        <v>2</v>
      </c>
      <c r="H15" s="76">
        <v>1.0</v>
      </c>
      <c r="I15" s="76">
        <v>1.0</v>
      </c>
      <c r="L15" s="104">
        <f t="shared" si="6"/>
        <v>0.6666666667</v>
      </c>
      <c r="M15" s="53">
        <f t="shared" si="7"/>
        <v>0.7</v>
      </c>
      <c r="N15" s="51">
        <f t="shared" si="8"/>
        <v>3</v>
      </c>
    </row>
    <row r="16" hidden="1">
      <c r="A16" s="29" t="s">
        <v>25</v>
      </c>
      <c r="B16" s="100"/>
      <c r="L16" s="100"/>
    </row>
    <row r="17" hidden="1">
      <c r="A17" s="29" t="s">
        <v>26</v>
      </c>
    </row>
    <row r="18" hidden="1">
      <c r="A18" s="41" t="s">
        <v>27</v>
      </c>
    </row>
    <row r="19" hidden="1">
      <c r="A19" s="47" t="s">
        <v>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.0"/>
    <col customWidth="1" min="3" max="3" width="3.38"/>
    <col customWidth="1" min="4" max="4" width="4.25"/>
    <col customWidth="1" min="5" max="5" width="4.0"/>
    <col customWidth="1" min="6" max="6" width="3.75"/>
    <col customWidth="1" min="7" max="7" width="3.88"/>
    <col customWidth="1" min="8" max="8" width="4.13"/>
    <col customWidth="1" min="9" max="9" width="3.63"/>
    <col customWidth="1" min="10" max="13" width="4.88"/>
  </cols>
  <sheetData>
    <row r="1">
      <c r="A1" s="95"/>
      <c r="B1" s="81" t="s">
        <v>14</v>
      </c>
      <c r="C1" s="82" t="s">
        <v>6</v>
      </c>
      <c r="D1" s="82" t="s">
        <v>7</v>
      </c>
      <c r="E1" s="82" t="s">
        <v>16</v>
      </c>
      <c r="F1" s="82" t="s">
        <v>15</v>
      </c>
      <c r="G1" s="82" t="s">
        <v>30</v>
      </c>
      <c r="H1" s="82" t="s">
        <v>31</v>
      </c>
      <c r="I1" s="82" t="s">
        <v>32</v>
      </c>
      <c r="J1" s="82" t="s">
        <v>33</v>
      </c>
      <c r="K1" s="83"/>
      <c r="L1" s="81" t="s">
        <v>17</v>
      </c>
      <c r="M1" s="82" t="s">
        <v>18</v>
      </c>
    </row>
    <row r="2">
      <c r="A2" s="76" t="s">
        <v>44</v>
      </c>
      <c r="B2" s="84"/>
      <c r="F2" s="51">
        <f t="shared" ref="F2:F9" si="1">SUM(G2:J2)</f>
        <v>0</v>
      </c>
      <c r="K2" s="85"/>
      <c r="L2" s="100" t="str">
        <f t="shared" ref="L2:L9" si="2"> 9*E2/B2</f>
        <v>#DIV/0!</v>
      </c>
      <c r="M2" s="51" t="str">
        <f t="shared" ref="M2:M9" si="3">(D2+F2)/B2</f>
        <v>#DIV/0!</v>
      </c>
    </row>
    <row r="3">
      <c r="A3" s="76" t="s">
        <v>44</v>
      </c>
      <c r="B3" s="84"/>
      <c r="F3" s="51">
        <f t="shared" si="1"/>
        <v>0</v>
      </c>
      <c r="K3" s="85"/>
      <c r="L3" s="100" t="str">
        <f t="shared" si="2"/>
        <v>#DIV/0!</v>
      </c>
      <c r="M3" s="51" t="str">
        <f t="shared" si="3"/>
        <v>#DIV/0!</v>
      </c>
    </row>
    <row r="4">
      <c r="A4" s="76" t="s">
        <v>44</v>
      </c>
      <c r="B4" s="84"/>
      <c r="F4" s="51">
        <f t="shared" si="1"/>
        <v>0</v>
      </c>
      <c r="K4" s="85"/>
      <c r="L4" s="100" t="str">
        <f t="shared" si="2"/>
        <v>#DIV/0!</v>
      </c>
      <c r="M4" s="51" t="str">
        <f t="shared" si="3"/>
        <v>#DIV/0!</v>
      </c>
    </row>
    <row r="5">
      <c r="A5" s="76" t="s">
        <v>44</v>
      </c>
      <c r="B5" s="84"/>
      <c r="F5" s="51">
        <f t="shared" si="1"/>
        <v>0</v>
      </c>
      <c r="K5" s="85"/>
      <c r="L5" s="100" t="str">
        <f t="shared" si="2"/>
        <v>#DIV/0!</v>
      </c>
      <c r="M5" s="51" t="str">
        <f t="shared" si="3"/>
        <v>#DIV/0!</v>
      </c>
    </row>
    <row r="6">
      <c r="A6" s="76" t="s">
        <v>44</v>
      </c>
      <c r="B6" s="84"/>
      <c r="F6" s="51">
        <f t="shared" si="1"/>
        <v>0</v>
      </c>
      <c r="K6" s="85"/>
      <c r="L6" s="100" t="str">
        <f t="shared" si="2"/>
        <v>#DIV/0!</v>
      </c>
      <c r="M6" s="51" t="str">
        <f t="shared" si="3"/>
        <v>#DIV/0!</v>
      </c>
    </row>
    <row r="7">
      <c r="A7" s="76" t="s">
        <v>44</v>
      </c>
      <c r="B7" s="84"/>
      <c r="F7" s="51">
        <f t="shared" si="1"/>
        <v>0</v>
      </c>
      <c r="K7" s="85"/>
      <c r="L7" s="100" t="str">
        <f t="shared" si="2"/>
        <v>#DIV/0!</v>
      </c>
      <c r="M7" s="51" t="str">
        <f t="shared" si="3"/>
        <v>#DIV/0!</v>
      </c>
    </row>
    <row r="8">
      <c r="A8" s="76" t="s">
        <v>44</v>
      </c>
      <c r="B8" s="84"/>
      <c r="F8" s="51">
        <f t="shared" si="1"/>
        <v>0</v>
      </c>
      <c r="K8" s="85"/>
      <c r="L8" s="100" t="str">
        <f t="shared" si="2"/>
        <v>#DIV/0!</v>
      </c>
      <c r="M8" s="51" t="str">
        <f t="shared" si="3"/>
        <v>#DIV/0!</v>
      </c>
    </row>
    <row r="9">
      <c r="A9" s="76" t="s">
        <v>44</v>
      </c>
      <c r="B9" s="76"/>
      <c r="F9" s="51">
        <f t="shared" si="1"/>
        <v>0</v>
      </c>
      <c r="K9" s="85"/>
      <c r="L9" s="100" t="str">
        <f t="shared" si="2"/>
        <v>#DIV/0!</v>
      </c>
      <c r="M9" s="51" t="str">
        <f t="shared" si="3"/>
        <v>#DIV/0!</v>
      </c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</row>
    <row r="11">
      <c r="A11" s="80"/>
      <c r="B11" s="94" t="s">
        <v>4</v>
      </c>
      <c r="C11" s="93" t="s">
        <v>6</v>
      </c>
      <c r="D11" s="93" t="s">
        <v>7</v>
      </c>
      <c r="E11" s="93" t="s">
        <v>37</v>
      </c>
      <c r="F11" s="93" t="s">
        <v>8</v>
      </c>
      <c r="G11" s="93" t="s">
        <v>5</v>
      </c>
      <c r="H11" s="93" t="s">
        <v>38</v>
      </c>
      <c r="I11" s="93" t="s">
        <v>39</v>
      </c>
      <c r="J11" s="93" t="s">
        <v>40</v>
      </c>
      <c r="K11" s="93" t="s">
        <v>41</v>
      </c>
      <c r="L11" s="94" t="s">
        <v>9</v>
      </c>
      <c r="M11" s="93" t="s">
        <v>42</v>
      </c>
    </row>
    <row r="12">
      <c r="A12" s="76" t="s">
        <v>44</v>
      </c>
      <c r="B12" s="112">
        <f t="shared" ref="B12:B19" si="4">SUM(C12:E12,G12)</f>
        <v>0</v>
      </c>
      <c r="G12" s="51">
        <f t="shared" ref="G12:G19" si="5">SUM(H12:K12)</f>
        <v>0</v>
      </c>
      <c r="L12" s="104" t="str">
        <f t="shared" ref="L12:L19" si="6">G12/(B12-D12)</f>
        <v>#DIV/0!</v>
      </c>
      <c r="M12" s="53" t="str">
        <f t="shared" ref="M12:M19" si="7">(D12+G12)/B12</f>
        <v>#DIV/0!</v>
      </c>
    </row>
    <row r="13">
      <c r="A13" s="76" t="s">
        <v>44</v>
      </c>
      <c r="B13" s="113">
        <f t="shared" si="4"/>
        <v>0</v>
      </c>
      <c r="G13" s="51">
        <f t="shared" si="5"/>
        <v>0</v>
      </c>
      <c r="L13" s="104" t="str">
        <f t="shared" si="6"/>
        <v>#DIV/0!</v>
      </c>
      <c r="M13" s="53" t="str">
        <f t="shared" si="7"/>
        <v>#DIV/0!</v>
      </c>
    </row>
    <row r="14">
      <c r="A14" s="76" t="s">
        <v>44</v>
      </c>
      <c r="B14" s="113">
        <f t="shared" si="4"/>
        <v>0</v>
      </c>
      <c r="G14" s="51">
        <f t="shared" si="5"/>
        <v>0</v>
      </c>
      <c r="L14" s="104" t="str">
        <f t="shared" si="6"/>
        <v>#DIV/0!</v>
      </c>
      <c r="M14" s="53" t="str">
        <f t="shared" si="7"/>
        <v>#DIV/0!</v>
      </c>
    </row>
    <row r="15">
      <c r="A15" s="76" t="s">
        <v>44</v>
      </c>
      <c r="B15" s="113">
        <f t="shared" si="4"/>
        <v>0</v>
      </c>
      <c r="G15" s="51">
        <f t="shared" si="5"/>
        <v>0</v>
      </c>
      <c r="L15" s="104" t="str">
        <f t="shared" si="6"/>
        <v>#DIV/0!</v>
      </c>
      <c r="M15" s="53" t="str">
        <f t="shared" si="7"/>
        <v>#DIV/0!</v>
      </c>
    </row>
    <row r="16">
      <c r="A16" s="76" t="s">
        <v>44</v>
      </c>
      <c r="B16" s="113">
        <f t="shared" si="4"/>
        <v>0</v>
      </c>
      <c r="G16" s="51">
        <f t="shared" si="5"/>
        <v>0</v>
      </c>
      <c r="L16" s="104" t="str">
        <f t="shared" si="6"/>
        <v>#DIV/0!</v>
      </c>
      <c r="M16" s="53" t="str">
        <f t="shared" si="7"/>
        <v>#DIV/0!</v>
      </c>
    </row>
    <row r="17">
      <c r="A17" s="76" t="s">
        <v>44</v>
      </c>
      <c r="B17" s="113">
        <f t="shared" si="4"/>
        <v>0</v>
      </c>
      <c r="G17" s="51">
        <f t="shared" si="5"/>
        <v>0</v>
      </c>
      <c r="L17" s="104" t="str">
        <f t="shared" si="6"/>
        <v>#DIV/0!</v>
      </c>
      <c r="M17" s="53" t="str">
        <f t="shared" si="7"/>
        <v>#DIV/0!</v>
      </c>
    </row>
    <row r="18">
      <c r="A18" s="76" t="s">
        <v>44</v>
      </c>
      <c r="B18" s="112">
        <f t="shared" si="4"/>
        <v>0</v>
      </c>
      <c r="G18" s="51">
        <f t="shared" si="5"/>
        <v>0</v>
      </c>
      <c r="L18" s="104" t="str">
        <f t="shared" si="6"/>
        <v>#DIV/0!</v>
      </c>
      <c r="M18" s="53" t="str">
        <f t="shared" si="7"/>
        <v>#DIV/0!</v>
      </c>
    </row>
    <row r="19">
      <c r="A19" s="76" t="s">
        <v>44</v>
      </c>
      <c r="B19" s="112">
        <f t="shared" si="4"/>
        <v>0</v>
      </c>
      <c r="G19" s="51">
        <f t="shared" si="5"/>
        <v>0</v>
      </c>
      <c r="L19" s="104" t="str">
        <f t="shared" si="6"/>
        <v>#DIV/0!</v>
      </c>
      <c r="M19" s="53" t="str">
        <f t="shared" si="7"/>
        <v>#DIV/0!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.13"/>
    <col customWidth="1" min="3" max="3" width="2.13"/>
    <col customWidth="1" min="4" max="4" width="3.25"/>
    <col customWidth="1" min="5" max="5" width="4.38"/>
    <col customWidth="1" min="6" max="6" width="3.75"/>
    <col customWidth="1" min="7" max="9" width="3.0"/>
    <col customWidth="1" min="10" max="10" width="4.5"/>
    <col customWidth="1" min="11" max="11" width="3.38"/>
    <col customWidth="1" min="12" max="13" width="6.5"/>
    <col customWidth="1" min="14" max="14" width="31.25"/>
  </cols>
  <sheetData>
    <row r="1">
      <c r="A1" s="114" t="s">
        <v>45</v>
      </c>
      <c r="B1" s="115" t="s">
        <v>14</v>
      </c>
      <c r="C1" s="116" t="s">
        <v>6</v>
      </c>
      <c r="D1" s="116" t="s">
        <v>7</v>
      </c>
      <c r="E1" s="116" t="s">
        <v>16</v>
      </c>
      <c r="F1" s="83" t="s">
        <v>15</v>
      </c>
      <c r="G1" s="116" t="s">
        <v>30</v>
      </c>
      <c r="H1" s="116" t="s">
        <v>31</v>
      </c>
      <c r="I1" s="116" t="s">
        <v>32</v>
      </c>
      <c r="J1" s="116" t="s">
        <v>33</v>
      </c>
      <c r="K1" s="116"/>
      <c r="L1" s="115" t="s">
        <v>17</v>
      </c>
      <c r="M1" s="116" t="s">
        <v>18</v>
      </c>
      <c r="N1" s="99" t="s">
        <v>46</v>
      </c>
    </row>
    <row r="2">
      <c r="A2" s="117"/>
      <c r="B2" s="118"/>
      <c r="C2" s="117"/>
      <c r="D2" s="117"/>
      <c r="E2" s="117"/>
      <c r="F2" s="119">
        <f t="shared" ref="F2:F9" si="1">SUM(G2:J2)</f>
        <v>0</v>
      </c>
      <c r="G2" s="117"/>
      <c r="H2" s="117"/>
      <c r="I2" s="117"/>
      <c r="J2" s="117"/>
      <c r="K2" s="117"/>
      <c r="L2" s="120" t="str">
        <f t="shared" ref="L2:L9" si="2"> 9*E2/B2</f>
        <v>#DIV/0!</v>
      </c>
      <c r="M2" s="117" t="str">
        <f t="shared" ref="M2:M9" si="3">(D2+F2)/B2</f>
        <v>#DIV/0!</v>
      </c>
      <c r="N2" s="121"/>
    </row>
    <row r="3">
      <c r="A3" s="122"/>
      <c r="B3" s="123"/>
      <c r="C3" s="122"/>
      <c r="D3" s="122"/>
      <c r="E3" s="122"/>
      <c r="F3" s="124">
        <f t="shared" si="1"/>
        <v>0</v>
      </c>
      <c r="G3" s="122"/>
      <c r="H3" s="122"/>
      <c r="I3" s="122"/>
      <c r="J3" s="122"/>
      <c r="K3" s="122"/>
      <c r="L3" s="125" t="str">
        <f t="shared" si="2"/>
        <v>#DIV/0!</v>
      </c>
      <c r="M3" s="122" t="str">
        <f t="shared" si="3"/>
        <v>#DIV/0!</v>
      </c>
      <c r="N3" s="121"/>
    </row>
    <row r="4">
      <c r="A4" s="122"/>
      <c r="B4" s="123"/>
      <c r="C4" s="122"/>
      <c r="D4" s="122"/>
      <c r="E4" s="122"/>
      <c r="F4" s="124">
        <f t="shared" si="1"/>
        <v>0</v>
      </c>
      <c r="G4" s="122"/>
      <c r="H4" s="122"/>
      <c r="I4" s="122"/>
      <c r="J4" s="122"/>
      <c r="K4" s="122"/>
      <c r="L4" s="125" t="str">
        <f t="shared" si="2"/>
        <v>#DIV/0!</v>
      </c>
      <c r="M4" s="122" t="str">
        <f t="shared" si="3"/>
        <v>#DIV/0!</v>
      </c>
      <c r="N4" s="121"/>
    </row>
    <row r="5">
      <c r="A5" s="122"/>
      <c r="B5" s="123"/>
      <c r="C5" s="122"/>
      <c r="D5" s="122"/>
      <c r="E5" s="122"/>
      <c r="F5" s="124">
        <f t="shared" si="1"/>
        <v>0</v>
      </c>
      <c r="G5" s="122"/>
      <c r="H5" s="122"/>
      <c r="I5" s="122"/>
      <c r="J5" s="122"/>
      <c r="K5" s="122"/>
      <c r="L5" s="125" t="str">
        <f t="shared" si="2"/>
        <v>#DIV/0!</v>
      </c>
      <c r="M5" s="122" t="str">
        <f t="shared" si="3"/>
        <v>#DIV/0!</v>
      </c>
      <c r="N5" s="121"/>
    </row>
    <row r="6">
      <c r="A6" s="122"/>
      <c r="B6" s="123"/>
      <c r="C6" s="122"/>
      <c r="D6" s="122"/>
      <c r="E6" s="122"/>
      <c r="F6" s="124">
        <f t="shared" si="1"/>
        <v>0</v>
      </c>
      <c r="G6" s="122"/>
      <c r="H6" s="122"/>
      <c r="I6" s="122"/>
      <c r="J6" s="122"/>
      <c r="K6" s="122"/>
      <c r="L6" s="125" t="str">
        <f t="shared" si="2"/>
        <v>#DIV/0!</v>
      </c>
      <c r="M6" s="122" t="str">
        <f t="shared" si="3"/>
        <v>#DIV/0!</v>
      </c>
      <c r="N6" s="121"/>
    </row>
    <row r="7">
      <c r="A7" s="122"/>
      <c r="B7" s="123"/>
      <c r="C7" s="122"/>
      <c r="D7" s="122"/>
      <c r="E7" s="122"/>
      <c r="F7" s="124">
        <f t="shared" si="1"/>
        <v>0</v>
      </c>
      <c r="G7" s="122"/>
      <c r="H7" s="122"/>
      <c r="I7" s="122"/>
      <c r="J7" s="122"/>
      <c r="K7" s="122"/>
      <c r="L7" s="125" t="str">
        <f t="shared" si="2"/>
        <v>#DIV/0!</v>
      </c>
      <c r="M7" s="122" t="str">
        <f t="shared" si="3"/>
        <v>#DIV/0!</v>
      </c>
      <c r="N7" s="121"/>
    </row>
    <row r="8">
      <c r="A8" s="122"/>
      <c r="B8" s="123"/>
      <c r="C8" s="122"/>
      <c r="D8" s="122"/>
      <c r="E8" s="122"/>
      <c r="F8" s="124">
        <f t="shared" si="1"/>
        <v>0</v>
      </c>
      <c r="G8" s="122"/>
      <c r="H8" s="122"/>
      <c r="I8" s="122"/>
      <c r="J8" s="122"/>
      <c r="K8" s="122"/>
      <c r="L8" s="125" t="str">
        <f t="shared" si="2"/>
        <v>#DIV/0!</v>
      </c>
      <c r="M8" s="122" t="str">
        <f t="shared" si="3"/>
        <v>#DIV/0!</v>
      </c>
      <c r="N8" s="121"/>
    </row>
    <row r="9">
      <c r="A9" s="126"/>
      <c r="B9" s="127"/>
      <c r="C9" s="122"/>
      <c r="D9" s="122"/>
      <c r="E9" s="122"/>
      <c r="F9" s="124">
        <f t="shared" si="1"/>
        <v>0</v>
      </c>
      <c r="G9" s="122"/>
      <c r="H9" s="122"/>
      <c r="I9" s="122"/>
      <c r="J9" s="122"/>
      <c r="K9" s="122"/>
      <c r="L9" s="125" t="str">
        <f t="shared" si="2"/>
        <v>#DIV/0!</v>
      </c>
      <c r="M9" s="122" t="str">
        <f t="shared" si="3"/>
        <v>#DIV/0!</v>
      </c>
      <c r="N9" s="121"/>
    </row>
    <row r="10" ht="10.5" customHeight="1">
      <c r="A10" s="106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121"/>
    </row>
    <row r="11">
      <c r="A11" s="128" t="s">
        <v>47</v>
      </c>
      <c r="B11" s="129" t="s">
        <v>4</v>
      </c>
      <c r="C11" s="128" t="s">
        <v>6</v>
      </c>
      <c r="D11" s="128" t="s">
        <v>7</v>
      </c>
      <c r="E11" s="128" t="s">
        <v>48</v>
      </c>
      <c r="F11" s="128" t="s">
        <v>8</v>
      </c>
      <c r="G11" s="130" t="s">
        <v>5</v>
      </c>
      <c r="H11" s="128" t="s">
        <v>38</v>
      </c>
      <c r="I11" s="128" t="s">
        <v>39</v>
      </c>
      <c r="J11" s="128" t="s">
        <v>40</v>
      </c>
      <c r="K11" s="128" t="s">
        <v>41</v>
      </c>
      <c r="L11" s="131" t="s">
        <v>9</v>
      </c>
      <c r="M11" s="128" t="s">
        <v>42</v>
      </c>
      <c r="N11" s="99" t="s">
        <v>49</v>
      </c>
    </row>
    <row r="12">
      <c r="A12" s="132"/>
      <c r="B12" s="133">
        <f t="shared" ref="B12:B19" si="4">SUM(C12:E12,G12)</f>
        <v>0</v>
      </c>
      <c r="C12" s="132"/>
      <c r="D12" s="132"/>
      <c r="E12" s="132"/>
      <c r="F12" s="132"/>
      <c r="G12" s="119">
        <f t="shared" ref="G12:G19" si="5">SUM(H12:K12)</f>
        <v>0</v>
      </c>
      <c r="H12" s="132"/>
      <c r="I12" s="132"/>
      <c r="J12" s="132"/>
      <c r="K12" s="132"/>
      <c r="L12" s="134" t="str">
        <f t="shared" ref="L12:L19" si="6">G12/(B12-D12)</f>
        <v>#DIV/0!</v>
      </c>
      <c r="M12" s="135" t="str">
        <f t="shared" ref="M12:M19" si="7">(D12+G12)/B12</f>
        <v>#DIV/0!</v>
      </c>
      <c r="N12" s="136"/>
    </row>
    <row r="13">
      <c r="A13" s="137"/>
      <c r="B13" s="138">
        <f t="shared" si="4"/>
        <v>0</v>
      </c>
      <c r="C13" s="137"/>
      <c r="D13" s="137"/>
      <c r="E13" s="137"/>
      <c r="F13" s="137"/>
      <c r="G13" s="124">
        <f t="shared" si="5"/>
        <v>0</v>
      </c>
      <c r="H13" s="137"/>
      <c r="I13" s="137"/>
      <c r="J13" s="137"/>
      <c r="K13" s="137"/>
      <c r="L13" s="139" t="str">
        <f t="shared" si="6"/>
        <v>#DIV/0!</v>
      </c>
      <c r="M13" s="140" t="str">
        <f t="shared" si="7"/>
        <v>#DIV/0!</v>
      </c>
      <c r="N13" s="136"/>
    </row>
    <row r="14">
      <c r="A14" s="137"/>
      <c r="B14" s="138">
        <f t="shared" si="4"/>
        <v>0</v>
      </c>
      <c r="C14" s="137"/>
      <c r="D14" s="137"/>
      <c r="E14" s="137"/>
      <c r="F14" s="137"/>
      <c r="G14" s="124">
        <f t="shared" si="5"/>
        <v>0</v>
      </c>
      <c r="H14" s="137"/>
      <c r="I14" s="137"/>
      <c r="J14" s="137"/>
      <c r="K14" s="137"/>
      <c r="L14" s="139" t="str">
        <f t="shared" si="6"/>
        <v>#DIV/0!</v>
      </c>
      <c r="M14" s="140" t="str">
        <f t="shared" si="7"/>
        <v>#DIV/0!</v>
      </c>
      <c r="N14" s="136"/>
    </row>
    <row r="15">
      <c r="A15" s="137"/>
      <c r="B15" s="138">
        <f t="shared" si="4"/>
        <v>0</v>
      </c>
      <c r="C15" s="137"/>
      <c r="D15" s="137"/>
      <c r="E15" s="137"/>
      <c r="F15" s="137"/>
      <c r="G15" s="124">
        <f t="shared" si="5"/>
        <v>0</v>
      </c>
      <c r="H15" s="137"/>
      <c r="I15" s="137"/>
      <c r="J15" s="137"/>
      <c r="K15" s="137"/>
      <c r="L15" s="139" t="str">
        <f t="shared" si="6"/>
        <v>#DIV/0!</v>
      </c>
      <c r="M15" s="140" t="str">
        <f t="shared" si="7"/>
        <v>#DIV/0!</v>
      </c>
      <c r="N15" s="136"/>
    </row>
    <row r="16">
      <c r="A16" s="137"/>
      <c r="B16" s="138">
        <f t="shared" si="4"/>
        <v>0</v>
      </c>
      <c r="C16" s="137"/>
      <c r="D16" s="137"/>
      <c r="E16" s="137"/>
      <c r="F16" s="137"/>
      <c r="G16" s="124">
        <f t="shared" si="5"/>
        <v>0</v>
      </c>
      <c r="H16" s="137"/>
      <c r="I16" s="137"/>
      <c r="J16" s="137"/>
      <c r="K16" s="137"/>
      <c r="L16" s="139" t="str">
        <f t="shared" si="6"/>
        <v>#DIV/0!</v>
      </c>
      <c r="M16" s="140" t="str">
        <f t="shared" si="7"/>
        <v>#DIV/0!</v>
      </c>
      <c r="N16" s="136"/>
    </row>
    <row r="17">
      <c r="A17" s="137"/>
      <c r="B17" s="138">
        <f t="shared" si="4"/>
        <v>0</v>
      </c>
      <c r="C17" s="137"/>
      <c r="D17" s="137"/>
      <c r="E17" s="137"/>
      <c r="F17" s="137"/>
      <c r="G17" s="124">
        <f t="shared" si="5"/>
        <v>0</v>
      </c>
      <c r="H17" s="137"/>
      <c r="I17" s="137"/>
      <c r="J17" s="137"/>
      <c r="K17" s="137"/>
      <c r="L17" s="139" t="str">
        <f t="shared" si="6"/>
        <v>#DIV/0!</v>
      </c>
      <c r="M17" s="140" t="str">
        <f t="shared" si="7"/>
        <v>#DIV/0!</v>
      </c>
      <c r="N17" s="136"/>
    </row>
    <row r="18">
      <c r="A18" s="137"/>
      <c r="B18" s="138">
        <f t="shared" si="4"/>
        <v>0</v>
      </c>
      <c r="C18" s="137"/>
      <c r="D18" s="137"/>
      <c r="E18" s="137"/>
      <c r="F18" s="137"/>
      <c r="G18" s="124">
        <f t="shared" si="5"/>
        <v>0</v>
      </c>
      <c r="H18" s="137"/>
      <c r="I18" s="137"/>
      <c r="J18" s="137"/>
      <c r="K18" s="137"/>
      <c r="L18" s="139" t="str">
        <f t="shared" si="6"/>
        <v>#DIV/0!</v>
      </c>
      <c r="M18" s="140" t="str">
        <f t="shared" si="7"/>
        <v>#DIV/0!</v>
      </c>
      <c r="N18" s="136"/>
    </row>
    <row r="19">
      <c r="A19" s="141"/>
      <c r="B19" s="142">
        <f t="shared" si="4"/>
        <v>0</v>
      </c>
      <c r="C19" s="141"/>
      <c r="D19" s="141"/>
      <c r="E19" s="141"/>
      <c r="F19" s="141"/>
      <c r="G19" s="143">
        <f t="shared" si="5"/>
        <v>0</v>
      </c>
      <c r="H19" s="141"/>
      <c r="I19" s="141"/>
      <c r="J19" s="141"/>
      <c r="K19" s="141"/>
      <c r="L19" s="144" t="str">
        <f t="shared" si="6"/>
        <v>#DIV/0!</v>
      </c>
      <c r="M19" s="145" t="str">
        <f t="shared" si="7"/>
        <v>#DIV/0!</v>
      </c>
      <c r="N19" s="136"/>
    </row>
  </sheetData>
  <dataValidations>
    <dataValidation type="list" allowBlank="1" showErrorMessage="1" sqref="A2:A9 A12:A19">
      <formula1>"Matt,Christian,Chuck,Mason,Merrick,Stephan,Liam,Jackson,Logan"</formula1>
    </dataValidation>
  </dataValidations>
  <drawing r:id="rId1"/>
</worksheet>
</file>